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3" sheetId="1" r:id="rId4"/>
    <sheet state="visible" name="Tabelle2" sheetId="2" r:id="rId5"/>
    <sheet state="visible" name="Tabelle1" sheetId="3" r:id="rId6"/>
  </sheets>
  <definedNames>
    <definedName localSheetId="0" name="ExterneDaten_2">Tabelle3!$A$1:$F$101</definedName>
    <definedName localSheetId="1" name="ExterneDaten_1">Tabelle2!$A$1:$F$101</definedName>
  </definedNames>
  <calcPr/>
</workbook>
</file>

<file path=xl/sharedStrings.xml><?xml version="1.0" encoding="utf-8"?>
<sst xmlns="http://schemas.openxmlformats.org/spreadsheetml/2006/main" count="612" uniqueCount="514">
  <si>
    <t>Nr</t>
  </si>
  <si>
    <t>Station</t>
  </si>
  <si>
    <t>Ort</t>
  </si>
  <si>
    <t>Latitude</t>
  </si>
  <si>
    <t>Longitude</t>
  </si>
  <si>
    <t>Erklärung</t>
  </si>
  <si>
    <t>Main Tower</t>
  </si>
  <si>
    <t>Frankfurt – Main Tower</t>
  </si>
  <si>
    <t>Der Main Tower in Frankfurt am Main ist ein 200 Meter hoher Wolkenkratzer mit öffentlich zugänglicher Aussichtsplattform. Das 2000 eröffnete Hochhaus prägt mit seiner Glasfassade die Frankfurter Skyline und zählt zu den höchsten Gebäuden Deutschlands; von 198 Metern Höhe genießt man einen Rundblick über die Stadt.</t>
  </si>
  <si>
    <t>Finanzmetropole</t>
  </si>
  <si>
    <t>Frankfurt – Römer</t>
  </si>
  <si>
    <t>Frankfurt am Main zählt als Finanzmetropole zu den wichtigsten Bankenstandorten Europas. Sitz der Europäischen Zentralbank und zahlreicher Großbanken, verleiht die Skyline mit den meisten Wolkenkratzern Deutschlands der Stadt den Spitznamen „Mainhattan“.</t>
  </si>
  <si>
    <t>Kurtradition</t>
  </si>
  <si>
    <t>Wiesbaden – Kurhaus</t>
  </si>
  <si>
    <t>Wiesbaden gilt seit dem 19. Jahrhundert als mondäne Kurstadt. Das neoklassizistische Kurhaus von 1907, Thermalquellen und weitläufige Kurparks spiegeln bis heute die historische Wellness-Kultur wider.</t>
  </si>
  <si>
    <t>Johannes Gutenberg</t>
  </si>
  <si>
    <t>Mainz – Gutenberg-Museum</t>
  </si>
  <si>
    <t>Johannes Gutenberg revolutionierte um 1450 in Mainz den Buchdruck mit beweglichen Lettern. Das Gutenberg-Museum zeigt u. a. zwei Gutenberg-Bibeln und demonstriert an historischen Pressen die Technik, die das Lesen weltweit veränderte.</t>
  </si>
  <si>
    <t>Weinfest</t>
  </si>
  <si>
    <t>Rüdesheim – Drosselgasse</t>
  </si>
  <si>
    <t>Die Drosselgasse in Rüdesheim ist eine 144 Meter lange Fachwerkgasse voller Weinstuben. Ihre Weinfeste mit Live-Musik repräsentieren die gesellige Rheingauer Weinkultur.</t>
  </si>
  <si>
    <t>Helene Fischer</t>
  </si>
  <si>
    <t>Wöllstein – Geburtsort</t>
  </si>
  <si>
    <t>Helene Fischer (*1984) wuchs in Wöllstein auf und wurde zur erfolgreichsten deutschen Schlagersängerin. Hits wie „Atemlos durch die Nacht“ und zahlreiche Auszeichnungen prägen ihre Karriere.</t>
  </si>
  <si>
    <t>Loreley</t>
  </si>
  <si>
    <t>St. Goar – Loreleyfelsen</t>
  </si>
  <si>
    <t>Der 132 Meter hohe Loreley-Felsen am Rhein ist sagenumwoben: Eine Nixe soll mit ihrem Gesang Schiffer ins Verderben gelockt haben. Heute ist der Aussichtspunkt Teil des UNESCO-Welterbes Oberes Mittelrheintal.</t>
  </si>
  <si>
    <t>Weinbau</t>
  </si>
  <si>
    <t>Boppard – Rheinschleife</t>
  </si>
  <si>
    <t>An der Rheinschleife bei Boppard wachsen auf steilen Schieferhängen Riesling-Reben. Der Bopparder Hamm dokumentiert seit Jahrhunderten die Weinbautradition des Mittelrheins.</t>
  </si>
  <si>
    <t>Deutsches Eck</t>
  </si>
  <si>
    <t>Koblenz – Deutsches Eck</t>
  </si>
  <si>
    <t>Am Deutschen Eck fließen Mosel und Rhein zusammen. Das Reiterstandbild Kaiser Wilhelms I. (1897) erinnert an die Reichsgründung und wurde nach 1945 zum Symbol der deutschen Einheit.</t>
  </si>
  <si>
    <t>Autobahn Erlebnis</t>
  </si>
  <si>
    <t>Nürburgring – GP-Strecke</t>
  </si>
  <si>
    <t>Deutschlands Autobahnen sind für fehlende Tempolimits bekannt. Auf der Nordschleife des Nürburgrings können Fahrer Hochgeschwindigkeit legal erleben – ein kontrolliertes Pendant zum Autobahnrausch.</t>
  </si>
  <si>
    <t>Beethoven</t>
  </si>
  <si>
    <t>Bonn – Beethoven-Haus</t>
  </si>
  <si>
    <t>Ludwig van Beethoven (1770–1827) wurde in Bonn geboren. Sein Geburtshaus bewahrt Originalinstrumente und Handschriften des Komponisten, dessen Werke die klassische Musik bis heute prägen.</t>
  </si>
  <si>
    <t>Kölner Karneval</t>
  </si>
  <si>
    <t>Köln – Alter Markt</t>
  </si>
  <si>
    <t>Der Kölner Karneval, seit 1823 organisiert, verwandelt die Stadt vom 11. 11. bis Aschermittwoch in ein buntes Volksfest. Höhepunkt ist der Rosenmontagszug mit Hunderttausenden kostümierten Jecken.</t>
  </si>
  <si>
    <t>Konrad Adenauer</t>
  </si>
  <si>
    <t>Köln – Adenauer-Haus</t>
  </si>
  <si>
    <t>Konrad Adenauer (1876–1967) war Kölner Oberbürgermeister und erster Bundeskanzler der Bundesrepublik. Sein Wohnhaus in Rhöndorf erzählt von seinem Einsatz für Wiederaufbau und Westbindung.</t>
  </si>
  <si>
    <t>Neandertaler Fund</t>
  </si>
  <si>
    <t>Mettmann – Neanderthal Museum</t>
  </si>
  <si>
    <t>Der 1856 gefundene Neandertaler-Schädel revolutionierte das Verständnis menschlicher Evolution. Das Neanderthal Museum veranschaulicht die Geschichte unserer fossilen Verwandten.</t>
  </si>
  <si>
    <t>Rheinmetropole</t>
  </si>
  <si>
    <t>Düsseldorf – Rheinturm</t>
  </si>
  <si>
    <t>Düsseldorf verbindet Altstadt, Mode- und Messekultur mit moderner Architektur im Medienhafen. Der Rheinturm bietet einen Panoramablick auf die Rheinmetropole und ihre Kunst- und Shopping-Szene.</t>
  </si>
  <si>
    <t>Stahl &amp; Kultur</t>
  </si>
  <si>
    <t>Duisburg – Innenhafen</t>
  </si>
  <si>
    <t>Der Duisburger Innenhafen, einst Speicher- und Handelshafen, wurde zum Kultur- und Büroquartier umgestaltet. Restaurierte Speicher und Museen zeigen den erfolgreichen Strukturwandel von Stahl zu Kultur.</t>
  </si>
  <si>
    <t>Ruhrindustrie</t>
  </si>
  <si>
    <t>Essen – Zeche Zollverein</t>
  </si>
  <si>
    <t>Die stillgelegte Zeche Zollverein, ein Bauhaus-Industrie-Ensemble, ist UNESCO-Welterbe. Ausstellungen und Events lassen die Bergbaugeschichte des Ruhrgebiets lebendig werden.</t>
  </si>
  <si>
    <t>UNESCO Zollverein</t>
  </si>
  <si>
    <t>Essen – Kokerei Zollverein</t>
  </si>
  <si>
    <t>Die Kokerei Zollverein verarbeitete bis 1993 Kohle zu Koks und ist heute Teil des Weltkulturerbes. Besucher erkunden Fördertürme, Öfen und Aussichtsplattformen eines herausragenden Industriedenkmals.</t>
  </si>
  <si>
    <t>Fußball Bundesliga</t>
  </si>
  <si>
    <t>Dortmund – Signal Iduna Park</t>
  </si>
  <si>
    <t>Borussia Dortmunds Stadion mit der legendären „Gelben Wand“ steht für die Fankultur der Fußball-Bundesliga, die seit 1963 Millionen begeistert.</t>
  </si>
  <si>
    <t>Westfälische Fachwerkstadt</t>
  </si>
  <si>
    <t>Münster – Prinzipalmarkt</t>
  </si>
  <si>
    <t>Münsters Prinzipalmarkt mit Giebelhäusern und Arkaden, Rathaus und Lambertikirche vereint mittelalterliche Baukunst und Wiederaufbau. Fahrräder und Friedensgeschichte prägen das Stadtbild.</t>
  </si>
  <si>
    <t>Teutoburger Wald</t>
  </si>
  <si>
    <t>Bielefeld – Sparrenburg</t>
  </si>
  <si>
    <t>Die mittelalterliche Sparrenburg überragt Bielefeld am Rand des Teutoburger Waldes, der durch die Varusschlacht (9 n. Chr.) historisch bekannt ist.</t>
  </si>
  <si>
    <t>Moderne Stadt</t>
  </si>
  <si>
    <t>Hannover – Neues Rathaus</t>
  </si>
  <si>
    <t>Hannovers wilhelminisches Neues Rathaus (1913) symbolisiert den Wiederaufbau der Stadt, die heute Messestandort und grüne Großstadt mit den Herrenhäuser Gärten ist.</t>
  </si>
  <si>
    <t>Hannah Arendt</t>
  </si>
  <si>
    <t>Hannover – H.-Arendt-Platz</t>
  </si>
  <si>
    <t>Die politische Theoretikerin Hannah Arendt (1906–1975) wurde in Hannover geboren. Der Hannah-Arendt-Platz mahnt an Demokratie, Freiheit und Verantwortung.</t>
  </si>
  <si>
    <t>Expo 2000</t>
  </si>
  <si>
    <t>Hannover – Expo-Park</t>
  </si>
  <si>
    <t>Die Expo 2000 war die erste Weltausstellung in Deutschland. Pavillons und Neubauten im Expo-Park erinnern an innovative Konzepte zu Mensch, Natur und Technik.</t>
  </si>
  <si>
    <t>Schloss Herrenhausen</t>
  </si>
  <si>
    <t>Hannover – Herrenhausen</t>
  </si>
  <si>
    <t>Das rekonstruierte Schloss Herrenhausen liegt inmitten der berühmten barocken Herrenhäuser Gärten mit Wasserspielen und Botanischem Berggarten.</t>
  </si>
  <si>
    <t>Braunschweig – Schloss</t>
  </si>
  <si>
    <t>Die Fassade des im Krieg zerstörten Welfenschlosses wurde 2007 vor ein modernes Einkaufs- und Kulturzentrum gesetzt – ein Beispiel für Tradition im neuen Gewand.</t>
  </si>
  <si>
    <t>Planetarium</t>
  </si>
  <si>
    <t>Wolfsburg – Phaeno</t>
  </si>
  <si>
    <t>Das von Zaha Hadid entworfene Phaeno Science Center inszeniert Naturphänomene interaktiv. Es ergänzt Wolfsburgs Autostadt und die VW-Historie um Wissenschaftserlebnisse.</t>
  </si>
  <si>
    <t>Volkswagen-Gründung</t>
  </si>
  <si>
    <t>Wolfsburg – Autostadt</t>
  </si>
  <si>
    <t>1938 als Standort für den VW-Käfer gegründet, erzählt Wolfsburgs Autostadt mit Pavillons und Oldtimern die Geschichte des Konzerns und des Automobils.</t>
  </si>
  <si>
    <t>Harz &amp; Bergbau</t>
  </si>
  <si>
    <t>Goslar – Altstadt</t>
  </si>
  <si>
    <t>Die Fachwerk-Altstadt Goslars und das Erzbergwerk Rammelsberg bilden ein gemeinsames UNESCO-Welterbe: ein Jahrtausend Harzer Erzbergbau trifft mittelalterliche Kaiserstadt.</t>
  </si>
  <si>
    <t>Universitätsstadt</t>
  </si>
  <si>
    <t>Göttingen – Gänseliesel</t>
  </si>
  <si>
    <t>Seit 1737 prägt die Universität Göttingen die Stadt. Der Gänseliesel-Brunnen gilt als „meistgeküsstes Mädchen der Welt“, denn frisch promovierte Doktoranden küssen die Statue.</t>
  </si>
  <si>
    <t>Brüder Grimm</t>
  </si>
  <si>
    <t>Kassel – Grimm-Museum</t>
  </si>
  <si>
    <t>In Kassel sammelten Jacob und Wilhelm Grimm ihre weltberühmten Märchen. Die Grimmwelt präsentiert Manuskripte und sprachwissenschaftliches Erbe.</t>
  </si>
  <si>
    <t>Documenta</t>
  </si>
  <si>
    <t>Kassel – Friedrichsplatz</t>
  </si>
  <si>
    <t>Die alle fünf Jahre stattfindende documenta macht Kassel zur Welthauptstadt zeitgenössischer Kunst und verwandelt die Stadt in ein riesiges Open-Air-Museum.</t>
  </si>
  <si>
    <t>Landgrafenkunst</t>
  </si>
  <si>
    <t>Kassel – Bergpark Wilhelmshöhe</t>
  </si>
  <si>
    <t>Europas größter Hangpark mit Herkules-Statue und barocken Wasserspielen ist UNESCO-Welterbe und Zeugnis landgräflicher Gartenkunst.</t>
  </si>
  <si>
    <t>Wartburgfest</t>
  </si>
  <si>
    <t>Eisenach – Wartburg</t>
  </si>
  <si>
    <t>1817 forderten Studenten auf der Wartburg nationale Einheit und Freiheitsrechte. Die Burg ist auch durch Luthers Bibelübersetzung berühmt.</t>
  </si>
  <si>
    <t>Lutherische Kirchenkunst</t>
  </si>
  <si>
    <t>Erfurt – Dom</t>
  </si>
  <si>
    <t>Der gotische Erfurter Dom beherbergt die Gloriosa, größte freischwingende mittelalterliche Glocke. Hier wurde Martin Luther 1507 zum Priester geweiht.</t>
  </si>
  <si>
    <t>Goethe</t>
  </si>
  <si>
    <t>Weimar – Goethe-Haus</t>
  </si>
  <si>
    <t>Goethes Wohnhaus zeigt originale Räume und Sammlungen des Dichters, der mit Schiller die Weimarer Klassik prägte.</t>
  </si>
  <si>
    <t>Hyperinflation 1923</t>
  </si>
  <si>
    <t>Weimar – DNT</t>
  </si>
  <si>
    <t>Die Geldentwertung der Weimarer Republik erreichte 1923 ihren Höhepunkt: Preise explodierten, Ersparnisse verfielen – ein Trauma deutscher Wirtschaftsgeschichte.</t>
  </si>
  <si>
    <t>Rennsteig</t>
  </si>
  <si>
    <t>Thüringer Wald – Rennsteig</t>
  </si>
  <si>
    <t>Der 170 km lange Rennsteig-Kammweg ist ältester Fernwanderweg Deutschlands und verbindet Kultur- und Naturlandschaften des Thüringer Waldes.</t>
  </si>
  <si>
    <t>Glasmacherkunst</t>
  </si>
  <si>
    <t>Lauscha – Glasbläserwerkstatt</t>
  </si>
  <si>
    <t>Lauscha gilt als Geburtsort der gläsernen Christbaumkugel. Seit 1597 pflegen Familienbetriebe hier die Kunst des Glasblasens.</t>
  </si>
  <si>
    <t>Barockschloss</t>
  </si>
  <si>
    <t>Coburg – Veste Coburg</t>
  </si>
  <si>
    <t>Die Veste Coburg, eine der größten Burgen Deutschlands, beherbergt Kunstsammlungen und war 1530 Luther-Fluchtort.</t>
  </si>
  <si>
    <t>Biertradition</t>
  </si>
  <si>
    <t>Kulmbach – Mönchshof</t>
  </si>
  <si>
    <t>Kulmbach präsentiert im Bayerischen Brauereimuseum Starkbier- und Eisbock-Tradition und feiert jährlich die Bierwoche.</t>
  </si>
  <si>
    <t>Biertradition2</t>
  </si>
  <si>
    <t>Kulmbach – Brauerei</t>
  </si>
  <si>
    <t>Fränkische Braukunst mit Reinheitsgebot: Kulmbacher Starkbiere genießen internationalen Ruf und prägen lokale Identität.</t>
  </si>
  <si>
    <t>Markgrafenkunst</t>
  </si>
  <si>
    <t>Bayreuth – Opernhaus</t>
  </si>
  <si>
    <t>Das Markgräfliche Opernhaus (1748) ist ein vollständig erhaltenes Barocktheater und UNESCO-Welterbe – ein Juwel höfischer Festkultur.</t>
  </si>
  <si>
    <t>Richard Wagner</t>
  </si>
  <si>
    <t>Bayreuth – Festspielhaus</t>
  </si>
  <si>
    <t>Das 1876 eröffnete Festspielhaus, akustisch auf Wagners Musikdramen ausgelegt, zieht Opernliebhaber aus aller Welt zu den Bayreuther Festspielen.</t>
  </si>
  <si>
    <t>Fränkische Schweiz</t>
  </si>
  <si>
    <t>Pottenstein – Teufelshöhle</t>
  </si>
  <si>
    <t>Die zerklüftete Karstlandschaft mit Tropfsteinhöhlen und Burgruinen ist seit dem 19. Jh. ein beliebtes Wander- und Klettergebiet.</t>
  </si>
  <si>
    <t>UNESCO-Altstadt</t>
  </si>
  <si>
    <t>Bamberg – Altstadt</t>
  </si>
  <si>
    <t>Bambergs sieben-hügelige Altstadt mit romanischem Dom und Rathaus in der Regnitz gilt als größtes unzerstörtes historisches Stadtbild Deutschlands.</t>
  </si>
  <si>
    <t>Weihnachtsmarkt</t>
  </si>
  <si>
    <t>Nürnberg – Hauptmarkt</t>
  </si>
  <si>
    <t>Der Nürnberger Christkindlesmarkt, seit dem 16. Jh. belegt, lockt mit Lebkuchen und Holzspielzeug jährlich zwei Millionen Besucher.</t>
  </si>
  <si>
    <t>Holocaust-Dokumentation</t>
  </si>
  <si>
    <t>Nürnberg – Memorium</t>
  </si>
  <si>
    <t>Das Memorium Nürnberger Prozesse erinnert in Saal 600 an die juristische Aufarbeitung der NS-Verbrechen und die Geburtsstunde des Völkerstrafrechts.</t>
  </si>
  <si>
    <t>Bier Reinheitsgebot</t>
  </si>
  <si>
    <t>Ingolstadt – Herzogskasten</t>
  </si>
  <si>
    <t>1516 verkündeten bayerische Herzöge in Ingolstadt das Reinheitsgebot: Bier darf nur aus Wasser, Gerste, Hopfen bestehen – älteste Lebensmittelvorschrift der Welt.</t>
  </si>
  <si>
    <t>Fußball Allianz Arena</t>
  </si>
  <si>
    <t>München – Allianz Arena</t>
  </si>
  <si>
    <t>Die 2005 eröffnete Allianz Arena mit licht­durch­lässiger Außenhaut ist Heim des FC Bayern und eines der markantesten Stadien Europas.</t>
  </si>
  <si>
    <t>Olympia 1972</t>
  </si>
  <si>
    <t>München – Olympiapark</t>
  </si>
  <si>
    <t>Die Spiele von 1972 setzten mit ihrer Zeltdach-Architektur neue Maßstäbe; das Attentat auf die israelische Mannschaft prägte die Erinnerung an das moderne Areal.</t>
  </si>
  <si>
    <t>Sophie Scholl</t>
  </si>
  <si>
    <t>München – LMU</t>
  </si>
  <si>
    <t>Sophie Scholl verteilte 1943 Flugblätter der „Weißen Rose“ an der LMU. Heute mahnen Gedenktafeln an ihren mutigen Widerstand gegen das NS-Regime.</t>
  </si>
  <si>
    <t>Oktoberfest</t>
  </si>
  <si>
    <t>München – Theresienwiese</t>
  </si>
  <si>
    <t>Seit 1810 feiert München das Oktoberfest. Riesige Bierzelte, Fahrgeschäfte und Trachten ziehen jährlich Millionen Besucher an.</t>
  </si>
  <si>
    <t>Schloss Neuschwanstein</t>
  </si>
  <si>
    <t>Schwangau – Neuschwanstein</t>
  </si>
  <si>
    <t>König Ludwigs Märchenschloss (ab 1869) verkörpert romantischen Historismus in alpiner Kulisse und diente als Vorbild für das Disney-Schloss.</t>
  </si>
  <si>
    <t>Zeppelinflug 1900</t>
  </si>
  <si>
    <t>Friedrichshafen – Zeppelin Museum</t>
  </si>
  <si>
    <t>Hier startete 1900 der erste Zeppelin der Welt. Das Museum zeigt Exponate zur Luftschiffära, darunter ein Teilstück der „Hindenburg“.</t>
  </si>
  <si>
    <t>Albert Einstein</t>
  </si>
  <si>
    <t>Ulm – Einstein-Brunnen</t>
  </si>
  <si>
    <t>Albert Einstein, 1879 in Ulm geboren, revolutionierte mit Relativitäts- und Quantentheorie die Physik. Der Brunnen erinnert an das Genie.</t>
  </si>
  <si>
    <t>Cannstatter Wasen</t>
  </si>
  <si>
    <t>Stuttgart – Wasen</t>
  </si>
  <si>
    <t>Das Cannstatter Volksfest (seit 1818) ist nach dem Oktoberfest das zweitgrößte deutsche Bier- und Volksfest und zieht jährlich rund vier Millionen Gäste an.</t>
  </si>
  <si>
    <t>Heidelberg – Schloss</t>
  </si>
  <si>
    <t>Die romantische Schlossruine über dem Neckar war Residenz der Kurfürsten. Ihre Renaissance-Fassaden und das Große Fass begeisterten schon Goethe.</t>
  </si>
  <si>
    <t>Carl Benz</t>
  </si>
  <si>
    <t>Mannheim – Carl-Benz-Haus</t>
  </si>
  <si>
    <t>Carl Benz baute 1885/86 in Mannheim den ersten praxistauglichen Motorwagen. Bertha Benz’ erste Fernfahrt bewies seine Alltagstauglichkeit.</t>
  </si>
  <si>
    <t>Barocke Stadt</t>
  </si>
  <si>
    <t>Würzburg – Residenz</t>
  </si>
  <si>
    <t>Die Würzburger Residenz (1720–1744) mit Tiepolo-Fresko und Spiegelsaal gilt als Hauptwerk des süddeutschen Barock und ist UNESCO-Welterbe.</t>
  </si>
  <si>
    <t>Schwarzwälder Kirschtorte</t>
  </si>
  <si>
    <t>Triberg – Café Schäfer</t>
  </si>
  <si>
    <t>Im Schwarzwald entstand die Sahne-Schokoladen-Kirschtorte mit Kirschwasser. Das Café Schäfer serviert sie nach historischem Rezept.</t>
  </si>
  <si>
    <t>Aachener Dom</t>
  </si>
  <si>
    <t>Aachen – Dom</t>
  </si>
  <si>
    <t>Karls Pfalzkapelle (8./9. Jh.) und gotischer Chor sind erstes deutsches UNESCO-Welterbe. Über 30 deutsche Könige wurden hier gekrönt.</t>
  </si>
  <si>
    <t>UNESCO Dombezirk</t>
  </si>
  <si>
    <t>Aachen – Dombezirk</t>
  </si>
  <si>
    <t>Der Aachener Domschatz mit Karlsschrein und Marienschrein zählt zu den bedeutendsten Kirchenschätzen Europas und ergänzt den Weltkulturerbe-Dom.</t>
  </si>
  <si>
    <t>Lutherstadt</t>
  </si>
  <si>
    <t>Eisleben – Gedenkstätten</t>
  </si>
  <si>
    <t>Luthers Geburts- und Sterbehäuser in Eisleben sind UNESCO-Welterbe und dokumentieren Leben und Wirkung des Reformators.</t>
  </si>
  <si>
    <t>Architektur­moderne</t>
  </si>
  <si>
    <t>Dessau – Meisterhäuser</t>
  </si>
  <si>
    <t>Die Meisterhäuser (1925/26) von Gropius für Bauhaus-Lehrer wie Kandinsky repräsentieren funktionale Bauhaus-Architektur im Originalzustand.</t>
  </si>
  <si>
    <t>Bauhaus-Gründung</t>
  </si>
  <si>
    <t>Dessau – Bauhaus</t>
  </si>
  <si>
    <t>Das Bauhausgebäude (1926) mit Glasfassade steht für die Verschmelzung von Kunst, Handwerk und Industrie – ein Meilenstein der Moderne.</t>
  </si>
  <si>
    <t>Reformation</t>
  </si>
  <si>
    <t>Lutherstadt Wittenberg – Schlosskirche</t>
  </si>
  <si>
    <t>Luthers 95 Thesen von 1517 an der Schlosskirche lösten die Reformation aus und veränderten Kirche und Gesellschaft nachhaltig.</t>
  </si>
  <si>
    <t>Jazzfest</t>
  </si>
  <si>
    <t>Leipzig – Moritzbastei</t>
  </si>
  <si>
    <t>Die Leipziger Jazztage (seit 1976) holen internationale Jazzgrößen in historische Spielstätten wie die unterirdische Moritzbastei.</t>
  </si>
  <si>
    <t>Johann Sebastian Bach</t>
  </si>
  <si>
    <t>Leipzig – Bach-Museum</t>
  </si>
  <si>
    <t>Bach wirkte ab 1723 als Thomaskantor in Leipzig. Das Museum zeigt Handschriften und Instrumente des Barockkomponisten.</t>
  </si>
  <si>
    <t>Völkerschlacht 1813</t>
  </si>
  <si>
    <t>Leipzig – Denkmal</t>
  </si>
  <si>
    <t>Das 91 Meter hohe Völkerschlachtdenkmal erinnert an Napoleons Niederlage in der größten Schlacht vor dem Ersten Weltkrieg.</t>
  </si>
  <si>
    <t>Meißen Porzellan</t>
  </si>
  <si>
    <t>Meißen – Porzellanmuseum</t>
  </si>
  <si>
    <t>1710 entstand in Meißen das erste europäische Hartporzellan. Das Museum zeigt Meisterstücke mit den gekreuzten Schwertern.</t>
  </si>
  <si>
    <t>Forschung &amp; Flug</t>
  </si>
  <si>
    <t>Berlin – Dt. Technikmuseum</t>
  </si>
  <si>
    <t>Das Technikmuseum präsentiert Lokomotiven, Schiffe und einen „Rosinenbomber“ auf dem Dach – Technikgeschichte zum Anfassen.</t>
  </si>
  <si>
    <t>Preußische Pracht</t>
  </si>
  <si>
    <t>Potsdam – Schloss Sanssouci</t>
  </si>
  <si>
    <t>Friedrich der Große ließ Sanssouci (1747) als Rokoko-Sommerresidenz über Weinbergterrassen erbauen; Park und Schlösser sind UNESCO-Welterbe.</t>
  </si>
  <si>
    <t>Filmgeschichte</t>
  </si>
  <si>
    <t>Potsdam – Filmpark Babelsberg</t>
  </si>
  <si>
    <t>Die Babelsberger Studios (ab 1912) sind Wiege des deutschen Films. Der Filmpark gewährt Einblicke in Kulissen, Stunts und Tricktechnik.</t>
  </si>
  <si>
    <t>Berliner Luftbrücke</t>
  </si>
  <si>
    <t>Berlin – Tempelhof</t>
  </si>
  <si>
    <t>1948/49 versorgten Rosinenbomber den blockierten Westteil der Stadt über den Flughafen Tempelhof – ein Symbol westlicher Solidarität.</t>
  </si>
  <si>
    <t>Kalter Krieg</t>
  </si>
  <si>
    <t>Berlin – Checkpoint Charlie</t>
  </si>
  <si>
    <t>Der bekannteste Berliner Grenzübergang war Schauplatz brisanter Panzerkonfrontationen zwischen USA und UdSSR im Oktober 1961.</t>
  </si>
  <si>
    <t>Hauptstadtgeschichte</t>
  </si>
  <si>
    <t>Berlin – Brandenburger Tor</t>
  </si>
  <si>
    <t>Das klassizistische Tor (1791) stand bis 1989 an der Mauer und wurde nach dem Fall zum Symbol der deutschen Einheit.</t>
  </si>
  <si>
    <t>Techno-Kultur</t>
  </si>
  <si>
    <t>Berlin – Berghain</t>
  </si>
  <si>
    <t>Der Club Berghain in einem ehemaligen Kraftwerk gilt als Mekka des Techno: kompromisslose Türpolitik und erstklassiger Sound erzeugen Kultstatus.</t>
  </si>
  <si>
    <t>Mauerfall</t>
  </si>
  <si>
    <t>Berlin – East Side Gallery</t>
  </si>
  <si>
    <t>Die bemalten 1,3 km Mauerreste zeigen über 100 Murals, die Freude über die friedliche Revolution von 1989 ausdrücken.</t>
  </si>
  <si>
    <t>Parklandschaft</t>
  </si>
  <si>
    <t>Fürstenberg/Havel – Schloss</t>
  </si>
  <si>
    <t>Schloss Fürstenberg liegt in einer seen- und waldreichen Parklandschaft Nordbrandenburgs und spiegelt adlige Kultur in naturnaher Umgebung.</t>
  </si>
  <si>
    <t>Brandenburgische Seen</t>
  </si>
  <si>
    <t>Rheinsberg – Schloss</t>
  </si>
  <si>
    <t>Schloss Rheinsberg am Grienericksee, einst Residenz Friedrichs des Großen, repräsentiert die idyllischen Seen des Ruppiner Landes.</t>
  </si>
  <si>
    <t>Müritzeum</t>
  </si>
  <si>
    <t>Waren – Müritzeum</t>
  </si>
  <si>
    <t>Deutschlands größtes Süßwasseraquarium informiert im Müritzeum über Flora und Fauna der Mecklenburgischen Seenplatte.</t>
  </si>
  <si>
    <t>Hafengeschichte</t>
  </si>
  <si>
    <t>Rostock – Alter Strom</t>
  </si>
  <si>
    <t>Warnemündes Alter Strom zeigt mit Fischerbooten und Kapitänshäusern die maritime Tradition der Hansestadt Rostock.</t>
  </si>
  <si>
    <t>Fischerdorf</t>
  </si>
  <si>
    <t>Ahrenshoop – Künstlerkolonie</t>
  </si>
  <si>
    <t>Das ehemalige Fischerdorf Ahrenshoop wurde ab 1890 zur Künstlerkolonie; Reetdächer und Ostseelicht inspirieren Maler bis heute.</t>
  </si>
  <si>
    <t>Stadterhebung</t>
  </si>
  <si>
    <t>Stralsund – Altstadt</t>
  </si>
  <si>
    <t>Stralsunds Backsteingotik-Altstadt erhielt 1234 Stadtrecht; als Hanse-Hafen ist sie zusammen mit Wismar UNESCO-Welterbe.</t>
  </si>
  <si>
    <t>Backsteingotik</t>
  </si>
  <si>
    <t>Greifswald – Dom</t>
  </si>
  <si>
    <t>Der Dom St. Nikolai (13. Jh.) dominiert Greifswalds Silhouette und verkörpert norddeutsche Backsteingotik und Hanse-Reichtum.</t>
  </si>
  <si>
    <t>Nationalpark Jasmund</t>
  </si>
  <si>
    <t>Rügen – Kreideküste</t>
  </si>
  <si>
    <t>Die weißen Kreidefelsen und alten Buchenwälder des Nationalparks Jasmund sind UNESCO-Weltnaturerbe und Inspiration romantischer Maler.</t>
  </si>
  <si>
    <t>Kaiserbäder Usedom</t>
  </si>
  <si>
    <t>Usedom – Kaiserbäder</t>
  </si>
  <si>
    <t>Ahlbeck, Heringsdorf, Bansin lockten seit 1900 mit Seebrücken und Bäderarchitektur das Berliner Bürgertum an die Ostsee.</t>
  </si>
  <si>
    <t>UNESCO-Altstadt Wismar</t>
  </si>
  <si>
    <t>Wismar – Altstadt</t>
  </si>
  <si>
    <t>Giebelhäuser, Wasserkunst und Backsteinkirchen bezeugen Wismars Hanse-Vergangenheit und machten die Altstadt zum Weltkulturerbe.</t>
  </si>
  <si>
    <t>Schwerin – Schloss</t>
  </si>
  <si>
    <t>Das romantische Insel-Schloss mit Türmen und goldenem Turmhelm ist Sitz des Landtags Mecklenburg-Vorpommerns und ein Märchenmotiv.</t>
  </si>
  <si>
    <t>Backsteingotik Ost</t>
  </si>
  <si>
    <t>Lübeck – Holstentor</t>
  </si>
  <si>
    <t>Das spätgotische Holstentor (1464–1478) mit Zwillings­türmen ist Lübecks Wahrzeichen und erinnert an die Blüte der Hanse.</t>
  </si>
  <si>
    <t>St. Michaelis</t>
  </si>
  <si>
    <t>Hamburg – Michel</t>
  </si>
  <si>
    <t>Der barocke Michel mit 132 m Turm bietet Seefahrern Orientierung und Hamburgern ein identitätsstiftendes Wahrzeichen.</t>
  </si>
  <si>
    <t>Elbphilharmonie</t>
  </si>
  <si>
    <t>Hamburg – Elbphilharmonie</t>
  </si>
  <si>
    <t>Das 2017 eröffnete Konzerthaus kombiniert modernen Glaswellenbau auf historischem Kaispeicher und setzt akustische Maßstäbe.</t>
  </si>
  <si>
    <t>Hafengeburtstag</t>
  </si>
  <si>
    <t>Hamburg – Landungsbrücken</t>
  </si>
  <si>
    <t>Europas größtes Hafenfest feiert seit 1189 die Hamburger Schifffahrt mit Ein- und Auslaufparaden von Segel- bis Kreuzfahrtschiffen.</t>
  </si>
  <si>
    <t>Reeperbahn</t>
  </si>
  <si>
    <t>Hamburg – St. Pauli</t>
  </si>
  <si>
    <t>St. Paulis Reeperbahn ist weltberühmtes Vergnügungs- und Rotlichtviertel, wo in den 1960ern die Beatles ihren Durchbruch hatten.</t>
  </si>
  <si>
    <t>Handball THW Kiel</t>
  </si>
  <si>
    <t>Kiel – Wunderino Arena</t>
  </si>
  <si>
    <t>THW Kiel, vielfacher deutscher und Champions-League-Sieger, sorgt in der Wunderino Arena für Handball-Atmosphäre auf Weltklasseniveau.</t>
  </si>
  <si>
    <t>Kieler Woche</t>
  </si>
  <si>
    <t>Kiel – Hörn</t>
  </si>
  <si>
    <t>Seit 1882 ist die Kieler Woche das größte Segelereignis der Welt; Regatten und maritimes Volksfest beleben eine Woche lang die Förde.</t>
  </si>
  <si>
    <t>Max Planck</t>
  </si>
  <si>
    <t>Kiel – Max-Planck-Schule</t>
  </si>
  <si>
    <t>Der in Kiel geborene Physiker Max Planck (1858–1947) begründete mit seiner Quantentheorie die moderne Physik.</t>
  </si>
  <si>
    <t>Sylt Strandkultur</t>
  </si>
  <si>
    <t>Westerland – Strandpromenade</t>
  </si>
  <si>
    <t>Sylt vereint Kurtradition, endlose Sandstrände und Prominentenflair; Strandkörbe und Reetdörfer prägen Deutschlands bekannteste Nordseeinsel.</t>
  </si>
  <si>
    <t>Moderne Kunst</t>
  </si>
  <si>
    <t>Magdeburg – Kunstmuseum</t>
  </si>
  <si>
    <t>Das Kunstmuseum im Kloster Unser Lieben Frauen verbindet romanische Architektur mit internationaler Gegenwartskunst – Symbol des modernen Magdeburg.</t>
  </si>
  <si>
    <t>ErklÃ¤rung</t>
  </si>
  <si>
    <t>Frankfurt â€“ Main Tower</t>
  </si>
  <si>
    <t>Der Main Tower in Frankfurt am Main ist ein 200 Meter hoher Wolkenkratzer mit Ã¶ffentlich zugÃ¤nglicher Aussichtsplattform. Das 2000 erÃ¶ffnete Hochhaus prÃ¤gt mit seiner Glasfassade die Frankfurter Skyline und zÃ¤hlt zu den hÃ¶chsten GebÃ¤uden Deutschlands; von 198 Metern HÃ¶he genieÃŸt man einen Rundblick Ã¼ber die Stadt.</t>
  </si>
  <si>
    <t>Frankfurt â€“ RÃ¶mer</t>
  </si>
  <si>
    <t>Frankfurt am Main zÃ¤hlt als Finanzmetropole zu den wichtigsten Bankenstandorten Europas. Sitz der EuropÃ¤ischen Zentralbank und zahlreicher GroÃŸbanken, verleiht die Skyline mit den meisten Wolkenkratzern Deutschlands der Stadt den Spitznamen â€žMainhattanâ€œ.</t>
  </si>
  <si>
    <t>Wiesbaden â€“ Kurhaus</t>
  </si>
  <si>
    <t>Wiesbaden gilt seit dem 19. Jahrhundert als mondÃ¤ne Kurstadt. Das neoklassizistische Kurhaus von 1907, Thermalquellen und weitlÃ¤ufige Kurparks spiegeln bis heute die historische Wellness-Kultur wider.</t>
  </si>
  <si>
    <t>Mainz â€“ Gutenberg-Museum</t>
  </si>
  <si>
    <t>Johannes Gutenberg revolutionierte um 1450 in Mainz den Buchdruck mit beweglichen Lettern. Das Gutenberg-Museum zeigt u. a. zwei Gutenberg-Bibeln und demonstriert an historischen Pressen die Technik, die das Lesen weltweit verÃ¤nderte.</t>
  </si>
  <si>
    <t>RÃ¼desheim â€“ Drosselgasse</t>
  </si>
  <si>
    <t>Die Drosselgasse in RÃ¼desheim ist eine 144 Meter lange Fachwerkgasse voller Weinstuben. Ihre Weinfeste mit Live-Musik reprÃ¤sentieren die gesellige Rheingauer Weinkultur.</t>
  </si>
  <si>
    <t>WÃ¶llstein â€“ Geburtsort</t>
  </si>
  <si>
    <t>Helene Fischer (*1984) wuchs in WÃ¶llstein auf und wurde zur erfolgreichsten deutschen SchlagersÃ¤ngerin. Hits wie â€žAtemlos durch die Nachtâ€œ und zahlreiche Auszeichnungen prÃ¤gen ihre Karriere.</t>
  </si>
  <si>
    <t>St. Goar â€“ Loreleyfelsen</t>
  </si>
  <si>
    <t>Boppard â€“ Rheinschleife</t>
  </si>
  <si>
    <t>An der Rheinschleife bei Boppard wachsen auf steilen SchieferhÃ¤ngen Riesling-Reben. Der Bopparder Hamm dokumentiert seit Jahrhunderten die Weinbautradition des Mittelrheins.</t>
  </si>
  <si>
    <t>Koblenz â€“ Deutsches Eck</t>
  </si>
  <si>
    <t>Am Deutschen Eck flieÃŸen Mosel und Rhein zusammen. Das Reiterstandbild Kaiser Wilhelms I. (1897) erinnert an die ReichsgrÃ¼ndung und wurde nach 1945 zum Symbol der deutschen Einheit.</t>
  </si>
  <si>
    <t>NÃ¼rburgring â€“ GP-Strecke</t>
  </si>
  <si>
    <t>Deutschlands Autobahnen sind fÃ¼r fehlende Tempolimits bekannt. Auf der Nordschleife des NÃ¼rburgrings kÃ¶nnen Fahrer Hochgeschwindigkeit legal erleben â€“ ein kontrolliertes Pendant zum Autobahnrausch.</t>
  </si>
  <si>
    <t>Bonn â€“ Beethoven-Haus</t>
  </si>
  <si>
    <t>Ludwig van Beethoven (1770â€“1827) wurde in Bonn geboren. Sein Geburtshaus bewahrt Originalinstrumente und Handschriften des Komponisten, dessen Werke die klassische Musik bis heute prÃ¤gen.</t>
  </si>
  <si>
    <t>KÃ¶lner Karneval</t>
  </si>
  <si>
    <t>KÃ¶ln â€“ Alter Markt</t>
  </si>
  <si>
    <t>Der KÃ¶lner Karneval, seit 1823 organisiert, verwandelt die Stadt vom 11. 11. bis Aschermittwoch in ein buntes Volksfest. HÃ¶hepunkt ist der Rosenmontagszug mit Hunderttausenden kostÃ¼mierten Jecken.</t>
  </si>
  <si>
    <t>KÃ¶ln â€“ Adenauer-Haus</t>
  </si>
  <si>
    <t>Konrad Adenauer (1876â€“1967) war KÃ¶lner OberbÃ¼rgermeister und erster Bundeskanzler der Bundesrepublik. Sein Wohnhaus in RhÃ¶ndorf erzÃ¤hlt von seinem Einsatz fÃ¼r Wiederaufbau und Westbindung.</t>
  </si>
  <si>
    <t>Mettmann â€“ Neanderthal Museum</t>
  </si>
  <si>
    <t>Der 1856 gefundene Neandertaler-SchÃ¤del revolutionierte das VerstÃ¤ndnis menschlicher Evolution. Das Neanderthal Museum veranschaulicht die Geschichte unserer fossilen Verwandten.</t>
  </si>
  <si>
    <t>DÃ¼sseldorf â€“ Rheinturm</t>
  </si>
  <si>
    <t>DÃ¼sseldorf verbindet Altstadt, Mode- und Messekultur mit moderner Architektur im Medienhafen. Der Rheinturm bietet einen Panoramablick auf die Rheinmetropole und ihre Kunst- und Shopping-Szene.</t>
  </si>
  <si>
    <t>Duisburg â€“ Innenhafen</t>
  </si>
  <si>
    <t>Der Duisburger Innenhafen, einst Speicher- und Handelshafen, wurde zum Kultur- und BÃ¼roquartier umgestaltet. Restaurierte Speicher und Museen zeigen den erfolgreichen Strukturwandel von Stahl zu Kultur.</t>
  </si>
  <si>
    <t>Essen â€“ Zeche Zollverein</t>
  </si>
  <si>
    <t>Essen â€“ Kokerei Zollverein</t>
  </si>
  <si>
    <t>Die Kokerei Zollverein verarbeitete bis 1993 Kohle zu Koks und ist heute Teil des Weltkulturerbes. Besucher erkunden FÃ¶rdertÃ¼rme, Ã–fen und Aussichtsplattformen eines herausragenden Industriedenkmals.</t>
  </si>
  <si>
    <t>FuÃŸball Bundesliga</t>
  </si>
  <si>
    <t>Dortmund â€“ Signal Iduna Park</t>
  </si>
  <si>
    <t>Borussia Dortmunds Stadion mit der legendÃ¤ren â€žGelben Wandâ€œ steht fÃ¼r die Fankultur der FuÃŸball-Bundesliga, die seit 1963 Millionen begeistert.</t>
  </si>
  <si>
    <t>WestfÃ¤lische Fachwerkstadt</t>
  </si>
  <si>
    <t>MÃ¼nster â€“ Prinzipalmarkt</t>
  </si>
  <si>
    <t>MÃ¼nsters Prinzipalmarkt mit GiebelhÃ¤usern und Arkaden, Rathaus und Lambertikirche vereint mittelalterliche Baukunst und Wiederaufbau. FahrrÃ¤der und Friedensgeschichte prÃ¤gen das Stadtbild.</t>
  </si>
  <si>
    <t>Bielefeld â€“ Sparrenburg</t>
  </si>
  <si>
    <t>Die mittelalterliche Sparrenburg Ã¼berragt Bielefeld am Rand des Teutoburger Waldes, der durch die Varusschlacht (9 n. Chr.) historisch bekannt ist.</t>
  </si>
  <si>
    <t>Hannover â€“ Neues Rathaus</t>
  </si>
  <si>
    <t>Hannovers wilhelminisches Neues Rathaus (1913) symbolisiert den Wiederaufbau der Stadt, die heute Messestandort und grÃ¼ne GroÃŸstadt mit den HerrenhÃ¤user GÃ¤rten ist.</t>
  </si>
  <si>
    <t>Hannover â€“ H.-Arendt-Platz</t>
  </si>
  <si>
    <t>Die politische Theoretikerin Hannah Arendt (1906â€“1975) wurde in Hannover geboren. Der Hannah-Arendt-Platz mahnt an Demokratie, Freiheit und Verantwortung.</t>
  </si>
  <si>
    <t>Hannover â€“ Expo-Park</t>
  </si>
  <si>
    <t>Hannover â€“ Herrenhausen</t>
  </si>
  <si>
    <t>Das rekonstruierte Schloss Herrenhausen liegt inmitten der berÃ¼hmten barocken HerrenhÃ¤user GÃ¤rten mit Wasserspielen und Botanischem Berggarten.</t>
  </si>
  <si>
    <t>Braunschweig â€“ Schloss</t>
  </si>
  <si>
    <t>Die Fassade des im Krieg zerstÃ¶rten Welfenschlosses wurde 2007 vor ein modernes Einkaufs- und Kulturzentrum gesetzt â€“ ein Beispiel fÃ¼r Tradition im neuen Gewand.</t>
  </si>
  <si>
    <t>Wolfsburg â€“ Phaeno</t>
  </si>
  <si>
    <t>Das von Zaha Hadid entworfene Phaeno Science Center inszeniert NaturphÃ¤nomene interaktiv. Es ergÃ¤nzt Wolfsburgs Autostadt und die VW-Historie um Wissenschaftserlebnisse.</t>
  </si>
  <si>
    <t>Volkswagen-GrÃ¼ndung</t>
  </si>
  <si>
    <t>Wolfsburg â€“ Autostadt</t>
  </si>
  <si>
    <t>1938 als Standort fÃ¼r den VW-KÃ¤fer gegrÃ¼ndet, erzÃ¤hlt Wolfsburgs Autostadt mit Pavillons und Oldtimern die Geschichte des Konzerns und des Automobils.</t>
  </si>
  <si>
    <t>Goslar â€“ Altstadt</t>
  </si>
  <si>
    <t>UniversitÃ¤tsstadt</t>
  </si>
  <si>
    <t>GÃ¶ttingen â€“ GÃ¤nseliesel</t>
  </si>
  <si>
    <t>Seit 1737 prÃ¤gt die UniversitÃ¤t GÃ¶ttingen die Stadt. Der GÃ¤nseliesel-Brunnen gilt als â€žmeistgekÃ¼sstes MÃ¤dchen der Weltâ€œ, denn frisch promovierte Doktoranden kÃ¼ssen die Statue.</t>
  </si>
  <si>
    <t>BrÃ¼der Grimm</t>
  </si>
  <si>
    <t>Kassel â€“ Grimm-Museum</t>
  </si>
  <si>
    <t>In Kassel sammelten Jacob und Wilhelm Grimm ihre weltberÃ¼hmten MÃ¤rchen. Die Grimmwelt prÃ¤sentiert Manuskripte und sprachwissenschaftliches Erbe.</t>
  </si>
  <si>
    <t>Kassel â€“ Friedrichsplatz</t>
  </si>
  <si>
    <t>Die alle fÃ¼nf Jahre stattfindende documenta macht Kassel zur Welthauptstadt zeitgenÃ¶ssischer Kunst und verwandelt die Stadt in ein riesiges Open-Air-Museum.</t>
  </si>
  <si>
    <t>Kassel â€“ Bergpark WilhelmshÃ¶he</t>
  </si>
  <si>
    <t>Europas grÃ¶ÃŸter Hangpark mit Herkules-Statue und barocken Wasserspielen ist UNESCO-Welterbe und Zeugnis landgrÃ¤flicher Gartenkunst.</t>
  </si>
  <si>
    <t>Eisenach â€“ Wartburg</t>
  </si>
  <si>
    <t>1817 forderten Studenten auf der Wartburg nationale Einheit und Freiheitsrechte. Die Burg ist auch durch Luthers BibelÃ¼bersetzung berÃ¼hmt.</t>
  </si>
  <si>
    <t>Erfurt â€“ Dom</t>
  </si>
  <si>
    <t>Der gotische Erfurter Dom beherbergt die Gloriosa, grÃ¶ÃŸte freischwingende mittelalterliche Glocke. Hier wurde Martin Luther 1507 zum Priester geweiht.</t>
  </si>
  <si>
    <t>Weimar â€“ Goethe-Haus</t>
  </si>
  <si>
    <t>Goethes Wohnhaus zeigt originale RÃ¤ume und Sammlungen des Dichters, der mit Schiller die Weimarer Klassik prÃ¤gte.</t>
  </si>
  <si>
    <t>Weimar â€“ DNT</t>
  </si>
  <si>
    <t>Die Geldentwertung der Weimarer Republik erreichte 1923 ihren HÃ¶hepunkt: Preise explodierten, Ersparnisse verfielen â€“ ein Trauma deutscher Wirtschaftsgeschichte.</t>
  </si>
  <si>
    <t>ThÃ¼ringer Wald â€“ Rennsteig</t>
  </si>
  <si>
    <t>Der 170 km lange Rennsteig-Kammweg ist Ã¤ltester Fernwanderweg Deutschlands und verbindet Kultur- und Naturlandschaften des ThÃ¼ringer Waldes.</t>
  </si>
  <si>
    <t>Lauscha â€“ GlasblÃ¤serwerkstatt</t>
  </si>
  <si>
    <t>Lauscha gilt als Geburtsort der glÃ¤sernen Christbaumkugel. Seit 1597 pflegen Familienbetriebe hier die Kunst des Glasblasens.</t>
  </si>
  <si>
    <t>Coburg â€“ Veste Coburg</t>
  </si>
  <si>
    <t>Die Veste Coburg, eine der grÃ¶ÃŸten Burgen Deutschlands, beherbergt Kunstsammlungen und war 1530 Luther-Fluchtort.</t>
  </si>
  <si>
    <t>Kulmbach â€“ MÃ¶nchshof</t>
  </si>
  <si>
    <t>Kulmbach prÃ¤sentiert im Bayerischen Brauereimuseum Starkbier- und Eisbock-Tradition und feiert jÃ¤hrlich die Bierwoche.</t>
  </si>
  <si>
    <t>Kulmbach â€“ Brauerei</t>
  </si>
  <si>
    <t>FrÃ¤nkische Braukunst mit Reinheitsgebot: Kulmbacher Starkbiere genieÃŸen internationalen Ruf und prÃ¤gen lokale IdentitÃ¤t.</t>
  </si>
  <si>
    <t>Bayreuth â€“ Opernhaus</t>
  </si>
  <si>
    <t>Das MarkgrÃ¤fliche Opernhaus (1748) ist ein vollstÃ¤ndig erhaltenes Barocktheater und UNESCO-Welterbe â€“ ein Juwel hÃ¶fischer Festkultur.</t>
  </si>
  <si>
    <t>Bayreuth â€“ Festspielhaus</t>
  </si>
  <si>
    <t>Das 1876 erÃ¶ffnete Festspielhaus, akustisch auf Wagners Musikdramen ausgelegt, zieht Opernliebhaber aus aller Welt zu den Bayreuther Festspielen.</t>
  </si>
  <si>
    <t>FrÃ¤nkische Schweiz</t>
  </si>
  <si>
    <t>Pottenstein â€“ TeufelshÃ¶hle</t>
  </si>
  <si>
    <t>Die zerklÃ¼ftete Karstlandschaft mit TropfsteinhÃ¶hlen und Burgruinen ist seit dem 19. Jh. ein beliebtes Wander- und Klettergebiet.</t>
  </si>
  <si>
    <t>Bamberg â€“ Altstadt</t>
  </si>
  <si>
    <t>Bambergs sieben-hÃ¼gelige Altstadt mit romanischem Dom und Rathaus in der Regnitz gilt als grÃ¶ÃŸtes unzerstÃ¶rtes historisches Stadtbild Deutschlands.</t>
  </si>
  <si>
    <t>NÃ¼rnberg â€“ Hauptmarkt</t>
  </si>
  <si>
    <t>Der NÃ¼rnberger Christkindlesmarkt, seit dem 16. Jh. belegt, lockt mit Lebkuchen und Holzspielzeug jÃ¤hrlich zwei Millionen Besucher.</t>
  </si>
  <si>
    <t>NÃ¼rnberg â€“ Memorium</t>
  </si>
  <si>
    <t>Das Memorium NÃ¼rnberger Prozesse erinnert in Saal 600 an die juristische Aufarbeitung der NS-Verbrechen und die Geburtsstunde des VÃ¶lkerstrafrechts.</t>
  </si>
  <si>
    <t>Ingolstadt â€“ Herzogskasten</t>
  </si>
  <si>
    <t>1516 verkÃ¼ndeten bayerische HerzÃ¶ge in Ingolstadt das Reinheitsgebot: Bier darf nur aus Wasser, Gerste, Hopfen bestehen â€“ Ã¤lteste Lebensmittelvorschrift der Welt.</t>
  </si>
  <si>
    <t>FuÃŸball Allianz Arena</t>
  </si>
  <si>
    <t>MÃ¼nchen â€“ Allianz Arena</t>
  </si>
  <si>
    <t>Die 2005 erÃ¶ffnete Allianz Arena mit lichtÂ­durchÂ­lÃ¤ssiger AuÃŸenhaut ist Heim des FC Bayern und eines der markantesten Stadien Europas.</t>
  </si>
  <si>
    <t>MÃ¼nchen â€“ Olympiapark</t>
  </si>
  <si>
    <t>Die Spiele von 1972 setzten mit ihrer Zeltdach-Architektur neue MaÃŸstÃ¤be; das Attentat auf die israelische Mannschaft prÃ¤gte die Erinnerung an das moderne Areal.</t>
  </si>
  <si>
    <t>MÃ¼nchen â€“ LMU</t>
  </si>
  <si>
    <t>Sophie Scholl verteilte 1943 FlugblÃ¤tter der â€žWeiÃŸen Roseâ€œ an der LMU. Heute mahnen Gedenktafeln an ihren mutigen Widerstand gegen das NS-Regime.</t>
  </si>
  <si>
    <t>MÃ¼nchen â€“ Theresienwiese</t>
  </si>
  <si>
    <t>Seit 1810 feiert MÃ¼nchen das Oktoberfest. Riesige Bierzelte, FahrgeschÃ¤fte und Trachten ziehen jÃ¤hrlich Millionen Besucher an.</t>
  </si>
  <si>
    <t>Schwangau â€“ Neuschwanstein</t>
  </si>
  <si>
    <t>KÃ¶nig Ludwigs MÃ¤rchenschloss (ab 1869) verkÃ¶rpert romantischen Historismus in alpiner Kulisse und diente als Vorbild fÃ¼r das Disney-Schloss.</t>
  </si>
  <si>
    <t>Friedrichshafen â€“ Zeppelin Museum</t>
  </si>
  <si>
    <t>Hier startete 1900 der erste Zeppelin der Welt. Das Museum zeigt Exponate zur LuftschiffÃ¤ra, darunter ein TeilstÃ¼ck der â€žHindenburgâ€œ.</t>
  </si>
  <si>
    <t>Ulm â€“ Einstein-Brunnen</t>
  </si>
  <si>
    <t>Albert Einstein, 1879 in Ulm geboren, revolutionierte mit RelativitÃ¤ts- und Quantentheorie die Physik. Der Brunnen erinnert an das Genie.</t>
  </si>
  <si>
    <t>Stuttgart â€“ Wasen</t>
  </si>
  <si>
    <t>Das Cannstatter Volksfest (seit 1818) ist nach dem Oktoberfest das zweitgrÃ¶ÃŸte deutsche Bier- und Volksfest und zieht jÃ¤hrlich rund vier Millionen GÃ¤ste an.</t>
  </si>
  <si>
    <t>Heidelberg â€“ Schloss</t>
  </si>
  <si>
    <t>Die romantische Schlossruine Ã¼ber dem Neckar war Residenz der KurfÃ¼rsten. Ihre Renaissance-Fassaden und das GroÃŸe Fass begeisterten schon Goethe.</t>
  </si>
  <si>
    <t>Mannheim â€“ Carl-Benz-Haus</t>
  </si>
  <si>
    <t>Carl Benz baute 1885/86 in Mannheim den ersten praxistauglichen Motorwagen. Bertha Benzâ€™ erste Fernfahrt bewies seine Alltagstauglichkeit.</t>
  </si>
  <si>
    <t>WÃ¼rzburg â€“ Residenz</t>
  </si>
  <si>
    <t>Die WÃ¼rzburger Residenz (1720â€“1744) mit Tiepolo-Fresko und Spiegelsaal gilt als Hauptwerk des sÃ¼ddeutschen Barock und ist UNESCO-Welterbe.</t>
  </si>
  <si>
    <t>SchwarzwÃ¤lder Kirschtorte</t>
  </si>
  <si>
    <t>Triberg â€“ CafÃ© SchÃ¤fer</t>
  </si>
  <si>
    <t>Im Schwarzwald entstand die Sahne-Schokoladen-Kirschtorte mit Kirschwasser. Das CafÃ© SchÃ¤fer serviert sie nach historischem Rezept.</t>
  </si>
  <si>
    <t>Aachen â€“ Dom</t>
  </si>
  <si>
    <t>Karls Pfalzkapelle (8./9. Jh.) und gotischer Chor sind erstes deutsches UNESCO-Welterbe. Ãœber 30 deutsche KÃ¶nige wurden hier gekrÃ¶nt.</t>
  </si>
  <si>
    <t>Aachen â€“ Dombezirk</t>
  </si>
  <si>
    <t>Der Aachener Domschatz mit Karlsschrein und Marienschrein zÃ¤hlt zu den bedeutendsten KirchenschÃ¤tzen Europas und ergÃ¤nzt den Weltkulturerbe-Dom.</t>
  </si>
  <si>
    <t>Eisleben â€“ GedenkstÃ¤tten</t>
  </si>
  <si>
    <t>Luthers Geburts- und SterbehÃ¤user in Eisleben sind UNESCO-Welterbe und dokumentieren Leben und Wirkung des Reformators.</t>
  </si>
  <si>
    <t>ArchitekturÂ­moderne</t>
  </si>
  <si>
    <t>Dessau â€“ MeisterhÃ¤user</t>
  </si>
  <si>
    <t>Die MeisterhÃ¤user (1925/26) von Gropius fÃ¼r Bauhaus-Lehrer wie Kandinsky reprÃ¤sentieren funktionale Bauhaus-Architektur im Originalzustand.</t>
  </si>
  <si>
    <t>Bauhaus-GrÃ¼ndung</t>
  </si>
  <si>
    <t>Dessau â€“ Bauhaus</t>
  </si>
  <si>
    <t>Das BauhausgebÃ¤ude (1926) mit Glasfassade steht fÃ¼r die Verschmelzung von Kunst, Handwerk und Industrie â€“ ein Meilenstein der Moderne.</t>
  </si>
  <si>
    <t>Lutherstadt Wittenberg â€“ Schlosskirche</t>
  </si>
  <si>
    <t>Luthers 95 Thesen von 1517 an der Schlosskirche lÃ¶sten die Reformation aus und verÃ¤nderten Kirche und Gesellschaft nachhaltig.</t>
  </si>
  <si>
    <t>Leipzig â€“ Moritzbastei</t>
  </si>
  <si>
    <t>Die Leipziger Jazztage (seit 1976) holen internationale JazzgrÃ¶ÃŸen in historische SpielstÃ¤tten wie die unterirdische Moritzbastei.</t>
  </si>
  <si>
    <t>Leipzig â€“ Bach-Museum</t>
  </si>
  <si>
    <t>VÃ¶lkerschlacht 1813</t>
  </si>
  <si>
    <t>Leipzig â€“ Denkmal</t>
  </si>
  <si>
    <t>Das 91 Meter hohe VÃ¶lkerschlachtdenkmal erinnert an Napoleons Niederlage in der grÃ¶ÃŸten Schlacht vor dem Ersten Weltkrieg.</t>
  </si>
  <si>
    <t>MeiÃŸen Porzellan</t>
  </si>
  <si>
    <t>MeiÃŸen â€“ Porzellanmuseum</t>
  </si>
  <si>
    <t>1710 entstand in MeiÃŸen das erste europÃ¤ische Hartporzellan. Das Museum zeigt MeisterstÃ¼cke mit den gekreuzten Schwertern.</t>
  </si>
  <si>
    <t>Berlin â€“ Dt. Technikmuseum</t>
  </si>
  <si>
    <t>Das Technikmuseum prÃ¤sentiert Lokomotiven, Schiffe und einen â€žRosinenbomberâ€œ auf dem Dach â€“ Technikgeschichte zum Anfassen.</t>
  </si>
  <si>
    <t>PreuÃŸische Pracht</t>
  </si>
  <si>
    <t>Potsdam â€“ Schloss Sanssouci</t>
  </si>
  <si>
    <t>Friedrich der GroÃŸe lieÃŸ Sanssouci (1747) als Rokoko-Sommerresidenz Ã¼ber Weinbergterrassen erbauen; Park und SchlÃ¶sser sind UNESCO-Welterbe.</t>
  </si>
  <si>
    <t>Potsdam â€“ Filmpark Babelsberg</t>
  </si>
  <si>
    <t>Die Babelsberger Studios (ab 1912) sind Wiege des deutschen Films. Der Filmpark gewÃ¤hrt Einblicke in Kulissen, Stunts und Tricktechnik.</t>
  </si>
  <si>
    <t>Berliner LuftbrÃ¼cke</t>
  </si>
  <si>
    <t>Berlin â€“ Tempelhof</t>
  </si>
  <si>
    <t>1948/49 versorgten Rosinenbomber den blockierten Westteil der Stadt Ã¼ber den Flughafen Tempelhof â€“ ein Symbol westlicher SolidaritÃ¤t.</t>
  </si>
  <si>
    <t>Berlin â€“ Checkpoint Charlie</t>
  </si>
  <si>
    <t>Der bekannteste Berliner GrenzÃ¼bergang war Schauplatz brisanter Panzerkonfrontationen zwischen USA und UdSSR im Oktober 1961.</t>
  </si>
  <si>
    <t>Berlin â€“ Brandenburger Tor</t>
  </si>
  <si>
    <t>Berlin â€“ Berghain</t>
  </si>
  <si>
    <t>Der Club Berghain in einem ehemaligen Kraftwerk gilt als Mekka des Techno: kompromisslose TÃ¼rpolitik und erstklassiger Sound erzeugen Kultstatus.</t>
  </si>
  <si>
    <t>Berlin â€“ East Side Gallery</t>
  </si>
  <si>
    <t>Die bemalten 1,3 km Mauerreste zeigen Ã¼ber 100 Murals, die Freude Ã¼ber die friedliche Revolution von 1989 ausdrÃ¼cken.</t>
  </si>
  <si>
    <t>FÃ¼rstenberg/Havel â€“ Schloss</t>
  </si>
  <si>
    <t>Schloss FÃ¼rstenberg liegt in einer seen- und waldreichen Parklandschaft Nordbrandenburgs und spiegelt adlige Kultur in naturnaher Umgebung.</t>
  </si>
  <si>
    <t>Rheinsberg â€“ Schloss</t>
  </si>
  <si>
    <t>Schloss Rheinsberg am Grienericksee, einst Residenz Friedrichs des GroÃŸen, reprÃ¤sentiert die idyllischen Seen des Ruppiner Landes.</t>
  </si>
  <si>
    <t>MÃ¼ritzeum</t>
  </si>
  <si>
    <t>Waren â€“ MÃ¼ritzeum</t>
  </si>
  <si>
    <t>Deutschlands grÃ¶ÃŸtes SÃ¼ÃŸwasseraquarium informiert im MÃ¼ritzeum Ã¼ber Flora und Fauna der Mecklenburgischen Seenplatte.</t>
  </si>
  <si>
    <t>Rostock â€“ Alter Strom</t>
  </si>
  <si>
    <t>WarnemÃ¼ndes Alter Strom zeigt mit Fischerbooten und KapitÃ¤nshÃ¤usern die maritime Tradition der Hansestadt Rostock.</t>
  </si>
  <si>
    <t>Ahrenshoop â€“ KÃ¼nstlerkolonie</t>
  </si>
  <si>
    <t>Das ehemalige Fischerdorf Ahrenshoop wurde ab 1890 zur KÃ¼nstlerkolonie; ReetdÃ¤cher und Ostseelicht inspirieren Maler bis heute.</t>
  </si>
  <si>
    <t>Stralsund â€“ Altstadt</t>
  </si>
  <si>
    <t>Greifswald â€“ Dom</t>
  </si>
  <si>
    <t>Der Dom St. Nikolai (13. Jh.) dominiert Greifswalds Silhouette und verkÃ¶rpert norddeutsche Backsteingotik und Hanse-Reichtum.</t>
  </si>
  <si>
    <t>RÃ¼gen â€“ KreidekÃ¼ste</t>
  </si>
  <si>
    <t>Die weiÃŸen Kreidefelsen und alten BuchenwÃ¤lder des Nationalparks Jasmund sind UNESCO-Weltnaturerbe und Inspiration romantischer Maler.</t>
  </si>
  <si>
    <t>KaiserbÃ¤der Usedom</t>
  </si>
  <si>
    <t>Usedom â€“ KaiserbÃ¤der</t>
  </si>
  <si>
    <t>Ahlbeck, Heringsdorf, Bansin lockten seit 1900 mit SeebrÃ¼cken und BÃ¤derarchitektur das Berliner BÃ¼rgertum an die Ostsee.</t>
  </si>
  <si>
    <t>Wismar â€“ Altstadt</t>
  </si>
  <si>
    <t>GiebelhÃ¤user, Wasserkunst und Backsteinkirchen bezeugen Wismars Hanse-Vergangenheit und machten die Altstadt zum Weltkulturerbe.</t>
  </si>
  <si>
    <t>Schwerin â€“ Schloss</t>
  </si>
  <si>
    <t>Das romantische Insel-Schloss mit TÃ¼rmen und goldenem Turmhelm ist Sitz des Landtags Mecklenburg-Vorpommerns und ein MÃ¤rchenmotiv.</t>
  </si>
  <si>
    <t>LÃ¼beck â€“ Holstentor</t>
  </si>
  <si>
    <t>Das spÃ¤tgotische Holstentor (1464â€“1478) mit ZwillingsÂ­tÃ¼rmen ist LÃ¼becks Wahrzeichen und erinnert an die BlÃ¼te der Hanse.</t>
  </si>
  <si>
    <t>Hamburg â€“ Michel</t>
  </si>
  <si>
    <t>Der barocke Michel mit 132 m Turm bietet Seefahrern Orientierung und Hamburgern ein identitÃ¤tsstiftendes Wahrzeichen.</t>
  </si>
  <si>
    <t>Hamburg â€“ Elbphilharmonie</t>
  </si>
  <si>
    <t>Das 2017 erÃ¶ffnete Konzerthaus kombiniert modernen Glaswellenbau auf historischem Kaispeicher und setzt akustische MaÃŸstÃ¤be.</t>
  </si>
  <si>
    <t>Hamburg â€“ LandungsbrÃ¼cken</t>
  </si>
  <si>
    <t>Europas grÃ¶ÃŸtes Hafenfest feiert seit 1189 die Hamburger Schifffahrt mit Ein- und Auslaufparaden von Segel- bis Kreuzfahrtschiffen.</t>
  </si>
  <si>
    <t>Hamburg â€“ St. Pauli</t>
  </si>
  <si>
    <t>St. Paulis Reeperbahn ist weltberÃ¼hmtes VergnÃ¼gungs- und Rotlichtviertel, wo in den 1960ern die Beatles ihren Durchbruch hatten.</t>
  </si>
  <si>
    <t>Kiel â€“ Wunderino Arena</t>
  </si>
  <si>
    <t>THW Kiel, vielfacher deutscher und Champions-League-Sieger, sorgt in der Wunderino Arena fÃ¼r Handball-AtmosphÃ¤re auf Weltklasseniveau.</t>
  </si>
  <si>
    <t>Kiel â€“ HÃ¶rn</t>
  </si>
  <si>
    <t>Seit 1882 ist die Kieler Woche das grÃ¶ÃŸte Segelereignis der Welt; Regatten und maritimes Volksfest beleben eine Woche lang die FÃ¶rde.</t>
  </si>
  <si>
    <t>Kiel â€“ Max-Planck-Schule</t>
  </si>
  <si>
    <t>Der in Kiel geborene Physiker Max Planck (1858â€“1947) begrÃ¼ndete mit seiner Quantentheorie die moderne Physik.</t>
  </si>
  <si>
    <t>Westerland â€“ Strandpromenade</t>
  </si>
  <si>
    <t>Sylt vereint Kurtradition, endlose SandstrÃ¤nde und Prominentenflair; StrandkÃ¶rbe und ReetdÃ¶rfer prÃ¤gen Deutschlands bekannteste Nordseeinsel.</t>
  </si>
  <si>
    <t>Magdeburg â€“ Kunstmuseum</t>
  </si>
  <si>
    <t>Das Kunstmuseum im Kloster Unser Lieben Frauen verbindet romanische Architektur mit internationaler Gegenwartskunst â€“ Symbol des modernen Magdeburg.</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</si>
</sst>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E2EFD9"/>
          <bgColor rgb="FFE2EFD9"/>
        </patternFill>
      </fill>
      <border/>
    </dxf>
    <dxf>
      <font/>
      <fill>
        <patternFill patternType="solid">
          <fgColor rgb="FFB4C6E7"/>
          <bgColor rgb="FFB4C6E7"/>
        </patternFill>
      </fill>
      <border/>
    </dxf>
  </dxfs>
  <tableStyles count="2">
    <tableStyle count="3" pivot="0" name="Tabelle3-style">
      <tableStyleElement dxfId="1" type="headerRow"/>
      <tableStyleElement dxfId="2" type="firstRowStripe"/>
      <tableStyleElement dxfId="3" type="secondRowStripe"/>
    </tableStyle>
    <tableStyle count="3" pivot="0" name="Tabelle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G101"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Tabelle3-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F101" displayName="Table_2" name="Table_2" id="2">
  <tableColumns count="6">
    <tableColumn name="Nr" id="1"/>
    <tableColumn name="Station" id="2"/>
    <tableColumn name="Ort" id="3"/>
    <tableColumn name="Latitude" id="4"/>
    <tableColumn name="Longitude" id="5"/>
    <tableColumn name="ErklÃ¤rung" id="6"/>
  </tableColumns>
  <tableStyleInfo name="Tabelle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26.0"/>
    <col customWidth="1" min="3" max="3" width="36.0"/>
    <col customWidth="1" min="4" max="4" width="10.57"/>
    <col customWidth="1" min="5" max="5" width="12.14"/>
    <col customWidth="1" min="6" max="6" width="81.14"/>
    <col customWidth="1" min="7" max="26" width="10.71"/>
  </cols>
  <sheetData>
    <row r="1">
      <c r="A1" s="1" t="s">
        <v>0</v>
      </c>
      <c r="B1" s="1" t="s">
        <v>1</v>
      </c>
      <c r="C1" s="1" t="s">
        <v>2</v>
      </c>
      <c r="D1" s="1" t="s">
        <v>3</v>
      </c>
      <c r="E1" s="1" t="s">
        <v>4</v>
      </c>
      <c r="F1" s="1" t="s">
        <v>5</v>
      </c>
      <c r="G1" s="1"/>
    </row>
    <row r="2">
      <c r="A2" s="1">
        <v>1.0</v>
      </c>
      <c r="B2" s="1" t="s">
        <v>6</v>
      </c>
      <c r="C2" s="1" t="s">
        <v>7</v>
      </c>
      <c r="D2" s="1">
        <v>501096.0</v>
      </c>
      <c r="E2" s="1">
        <v>86724.0</v>
      </c>
      <c r="F2" s="1" t="s">
        <v>8</v>
      </c>
      <c r="G2" s="1" t="str">
        <f>IFERROR(__xludf.DUMMYFUNCTION("GOOGLETRANSLATE(F2, ""de"", ""ru"")"),"Главная башня во Франкфурте-на-Майне — это небоскрёб высотой 200 метров с общедоступной смотровой площадкой. Высотное здание, открытое в 2000 году, своим стеклянным фасадом формирует панораму Франкфурта и является одним из самых высоких зданий в Германии;"&amp;" С высоты 198 метров открывается панорамный вид на город.")</f>
        <v>Главная башня во Франкфурте-на-Майне — это небоскрёб высотой 200 метров с общедоступной смотровой площадкой. Высотное здание, открытое в 2000 году, своим стеклянным фасадом формирует панораму Франкфурта и является одним из самых высоких зданий в Германии; С высоты 198 метров открывается панорамный вид на город.</v>
      </c>
    </row>
    <row r="3">
      <c r="A3" s="1">
        <v>2.0</v>
      </c>
      <c r="B3" s="1" t="s">
        <v>9</v>
      </c>
      <c r="C3" s="1" t="s">
        <v>10</v>
      </c>
      <c r="D3" s="1">
        <v>501106.0</v>
      </c>
      <c r="E3" s="1">
        <v>86821.0</v>
      </c>
      <c r="F3" s="1" t="s">
        <v>11</v>
      </c>
      <c r="G3" s="1" t="str">
        <f>IFERROR(__xludf.DUMMYFUNCTION("GOOGLETRANSLATE(F3, ""de"", ""ru"")"),"Будучи финансовым мегаполисом, Франкфурт-на-Майне является одним из важнейших банковских центров Европы. Здесь находится Европейский центральный банк и многочисленные крупные банки, а горизонт с наибольшим количеством небоскребов в Германии дал городу про"&amp;"звище «Майнхэттен».")</f>
        <v>Будучи финансовым мегаполисом, Франкфурт-на-Майне является одним из важнейших банковских центров Европы. Здесь находится Европейский центральный банк и многочисленные крупные банки, а горизонт с наибольшим количеством небоскребов в Германии дал городу прозвище «Майнхэттен».</v>
      </c>
    </row>
    <row r="4">
      <c r="A4" s="1">
        <v>3.0</v>
      </c>
      <c r="B4" s="1" t="s">
        <v>12</v>
      </c>
      <c r="C4" s="1" t="s">
        <v>13</v>
      </c>
      <c r="D4" s="1">
        <v>500826.0</v>
      </c>
      <c r="E4" s="1">
        <v>82435.0</v>
      </c>
      <c r="F4" s="1" t="s">
        <v>14</v>
      </c>
      <c r="G4" s="1" t="str">
        <f>IFERROR(__xludf.DUMMYFUNCTION("GOOGLETRANSLATE(F4, ""de"", ""ru"")"),"Висбаден считается изысканным курортным городом с 19 века. Неоклассический курортный дом 1907 года, термальные источники и обширные курортные парки до сих пор отражают историческую культуру оздоровления.")</f>
        <v>Висбаден считается изысканным курортным городом с 19 века. Неоклассический курортный дом 1907 года, термальные источники и обширные курортные парки до сих пор отражают историческую культуру оздоровления.</v>
      </c>
    </row>
    <row r="5">
      <c r="A5" s="1">
        <v>4.0</v>
      </c>
      <c r="B5" s="1" t="s">
        <v>15</v>
      </c>
      <c r="C5" s="1" t="s">
        <v>16</v>
      </c>
      <c r="D5" s="1">
        <v>499983.0</v>
      </c>
      <c r="E5" s="1">
        <v>82711.0</v>
      </c>
      <c r="F5" s="1" t="s">
        <v>17</v>
      </c>
      <c r="G5" s="1" t="str">
        <f>IFERROR(__xludf.DUMMYFUNCTION("GOOGLETRANSLATE(F5, ""de"", ""ru"")"),"Иоганн Гутенберг произвел революцию в книгопечатании с помощью подвижного шрифта в Майнце около 1450 года. В музее Гутенберга, среди прочего, представлены две Библии Гутенберга и на исторических печатных машинах демонстрируется технология, которая изменил"&amp;"а чтение во всем мире.")</f>
        <v>Иоганн Гутенберг произвел революцию в книгопечатании с помощью подвижного шрифта в Майнце около 1450 года. В музее Гутенберга, среди прочего, представлены две Библии Гутенберга и на исторических печатных машинах демонстрируется технология, которая изменила чтение во всем мире.</v>
      </c>
    </row>
    <row r="6">
      <c r="A6" s="1">
        <v>5.0</v>
      </c>
      <c r="B6" s="1" t="s">
        <v>18</v>
      </c>
      <c r="C6" s="1" t="s">
        <v>19</v>
      </c>
      <c r="D6" s="1">
        <v>499992.0</v>
      </c>
      <c r="E6" s="1">
        <v>79433.0</v>
      </c>
      <c r="F6" s="1" t="s">
        <v>20</v>
      </c>
      <c r="G6" s="1" t="str">
        <f>IFERROR(__xludf.DUMMYFUNCTION("GOOGLETRANSLATE(F6, ""de"", ""ru"")"),"Дроссельгассе в Рюдесхайме — это фахверковый переулок длиной 144 метра, полный винных баров. Их винные фестивали с живой музыкой представляют веселую винную культуру Рейнгау.")</f>
        <v>Дроссельгассе в Рюдесхайме — это фахверковый переулок длиной 144 метра, полный винных баров. Их винные фестивали с живой музыкой представляют веселую винную культуру Рейнгау.</v>
      </c>
    </row>
    <row r="7">
      <c r="A7" s="1">
        <v>6.0</v>
      </c>
      <c r="B7" s="1" t="s">
        <v>21</v>
      </c>
      <c r="C7" s="1" t="s">
        <v>22</v>
      </c>
      <c r="D7" s="1">
        <v>49804.0</v>
      </c>
      <c r="E7" s="1">
        <v>7967.0</v>
      </c>
      <c r="F7" s="1" t="s">
        <v>23</v>
      </c>
      <c r="G7" s="1" t="str">
        <f>IFERROR(__xludf.DUMMYFUNCTION("GOOGLETRANSLATE(F7, ""de"", ""ru"")"),"Хелен Фишер (*1984) выросла в Вельштайне и стала самой успешной немецкой поп-певицей. Такие хиты, как «Breathless Through the Night», и многочисленные награды определяют ее карьеру.")</f>
        <v>Хелен Фишер (*1984) выросла в Вельштайне и стала самой успешной немецкой поп-певицей. Такие хиты, как «Breathless Through the Night», и многочисленные награды определяют ее карьеру.</v>
      </c>
    </row>
    <row r="8">
      <c r="A8" s="1">
        <v>7.0</v>
      </c>
      <c r="B8" s="1" t="s">
        <v>24</v>
      </c>
      <c r="C8" s="1" t="s">
        <v>25</v>
      </c>
      <c r="D8" s="1">
        <v>501389.0</v>
      </c>
      <c r="E8" s="1">
        <v>77089.0</v>
      </c>
      <c r="F8" s="1" t="s">
        <v>26</v>
      </c>
      <c r="G8" s="1" t="str">
        <f>IFERROR(__xludf.DUMMYFUNCTION("GOOGLETRANSLATE(F8, ""de"", ""ru"")"),"Скала Лорелей высотой 132 метра на Рейне окутана легендой: говорят, что русалка своим пением заманивала лодочников на гибель. Сегодня смотровая площадка является частью долины Верхнего Среднего Рейна, объекта Всемирного наследия ЮНЕСКО.")</f>
        <v>Скала Лорелей высотой 132 метра на Рейне окутана легендой: говорят, что русалка своим пением заманивала лодочников на гибель. Сегодня смотровая площадка является частью долины Верхнего Среднего Рейна, объекта Всемирного наследия ЮНЕСКО.</v>
      </c>
    </row>
    <row r="9">
      <c r="A9" s="1">
        <v>8.0</v>
      </c>
      <c r="B9" s="1" t="s">
        <v>27</v>
      </c>
      <c r="C9" s="1" t="s">
        <v>28</v>
      </c>
      <c r="D9" s="1">
        <v>501172.0</v>
      </c>
      <c r="E9" s="1">
        <v>76071.0</v>
      </c>
      <c r="F9" s="1" t="s">
        <v>29</v>
      </c>
      <c r="G9" s="1" t="str">
        <f>IFERROR(__xludf.DUMMYFUNCTION("GOOGLETRANSLATE(F9, ""de"", ""ru"")"),"Лозы Рислинга растут на крутых сланцевых склонах на петле Рейна недалеко от Боппарда. Боппардер Хамм на протяжении веков документировал традиции виноделия Среднего Рейна.")</f>
        <v>Лозы Рислинга растут на крутых сланцевых склонах на петле Рейна недалеко от Боппарда. Боппардер Хамм на протяжении веков документировал традиции виноделия Среднего Рейна.</v>
      </c>
    </row>
    <row r="10">
      <c r="A10" s="1">
        <v>9.0</v>
      </c>
      <c r="B10" s="1" t="s">
        <v>30</v>
      </c>
      <c r="C10" s="1" t="s">
        <v>31</v>
      </c>
      <c r="D10" s="1">
        <v>503569.0</v>
      </c>
      <c r="E10" s="1">
        <v>75881.0</v>
      </c>
      <c r="F10" s="1" t="s">
        <v>32</v>
      </c>
      <c r="G10" s="1" t="str">
        <f>IFERROR(__xludf.DUMMYFUNCTION("GOOGLETRANSLATE(F10, ""de"", ""ru"")"),"Мозель и Рейн сливаются в Deutsches Eck. Конная статуя кайзера Вильгельма I (1897 г.) отмечает основание империи и стала символом немецкого единства после 1945 года.")</f>
        <v>Мозель и Рейн сливаются в Deutsches Eck. Конная статуя кайзера Вильгельма I (1897 г.) отмечает основание империи и стала символом немецкого единства после 1945 года.</v>
      </c>
    </row>
    <row r="11">
      <c r="A11" s="1">
        <v>10.0</v>
      </c>
      <c r="B11" s="1" t="s">
        <v>33</v>
      </c>
      <c r="C11" s="1" t="s">
        <v>34</v>
      </c>
      <c r="D11" s="1">
        <v>503341.0</v>
      </c>
      <c r="E11" s="1">
        <v>69476.0</v>
      </c>
      <c r="F11" s="1" t="s">
        <v>35</v>
      </c>
      <c r="G11" s="1" t="str">
        <f>IFERROR(__xludf.DUMMYFUNCTION("GOOGLETRANSLATE(F11, ""de"", ""ru"")"),"Автомагистрали Германии известны отсутствием ограничений скорости. На Северной петле Нюрбургринга водители могут легально ездить на высоких скоростях, что является контролируемым аналогом суеты на автомагистрали.")</f>
        <v>Автомагистрали Германии известны отсутствием ограничений скорости. На Северной петле Нюрбургринга водители могут легально ездить на высоких скоростях, что является контролируемым аналогом суеты на автомагистрали.</v>
      </c>
    </row>
    <row r="12">
      <c r="A12" s="1">
        <v>11.0</v>
      </c>
      <c r="B12" s="1" t="s">
        <v>36</v>
      </c>
      <c r="C12" s="1" t="s">
        <v>37</v>
      </c>
      <c r="D12" s="1">
        <v>507368.0</v>
      </c>
      <c r="E12" s="1">
        <v>7101.0</v>
      </c>
      <c r="F12" s="1" t="s">
        <v>38</v>
      </c>
      <c r="G12" s="1" t="str">
        <f>IFERROR(__xludf.DUMMYFUNCTION("GOOGLETRANSLATE(F12, ""de"", ""ru"")"),"Людвиг ван Бетховен (1770–1827) родился в Бонне. В доме, где он родился, хранятся оригинальные инструменты и рукописи композитора, произведения которого продолжают формировать классическую музыку и сегодня.")</f>
        <v>Людвиг ван Бетховен (1770–1827) родился в Бонне. В доме, где он родился, хранятся оригинальные инструменты и рукописи композитора, произведения которого продолжают формировать классическую музыку и сегодня.</v>
      </c>
    </row>
    <row r="13">
      <c r="A13" s="1">
        <v>12.0</v>
      </c>
      <c r="B13" s="1" t="s">
        <v>39</v>
      </c>
      <c r="C13" s="1" t="s">
        <v>40</v>
      </c>
      <c r="D13" s="1">
        <v>509403.0</v>
      </c>
      <c r="E13" s="1">
        <v>6957.0</v>
      </c>
      <c r="F13" s="1" t="s">
        <v>41</v>
      </c>
      <c r="G13" s="1" t="str">
        <f>IFERROR(__xludf.DUMMYFUNCTION("GOOGLETRANSLATE(F13, ""de"", ""ru"")"),"Кельнский карнавал, организуемый с 1823 года, превращает город в красочный фольклорный праздник, который проходит с 11 ноября по Пепельную среду. Изюминкой является парад Розового понедельника с участием сотен тысяч костюмированных шутов.")</f>
        <v>Кельнский карнавал, организуемый с 1823 года, превращает город в красочный фольклорный праздник, который проходит с 11 ноября по Пепельную среду. Изюминкой является парад Розового понедельника с участием сотен тысяч костюмированных шутов.</v>
      </c>
    </row>
    <row r="14">
      <c r="A14" s="1">
        <v>13.0</v>
      </c>
      <c r="B14" s="1" t="s">
        <v>42</v>
      </c>
      <c r="C14" s="1" t="s">
        <v>43</v>
      </c>
      <c r="D14" s="1">
        <v>509413.0</v>
      </c>
      <c r="E14" s="1">
        <v>69583.0</v>
      </c>
      <c r="F14" s="1" t="s">
        <v>44</v>
      </c>
      <c r="G14" s="1" t="str">
        <f>IFERROR(__xludf.DUMMYFUNCTION("GOOGLETRANSLATE(F14, ""de"", ""ru"")"),"Конрад Аденауэр (1876–1967) был мэром Кельна и первым канцлером Федеративной Республики. Его дом в Рёндорфе свидетельствует о его приверженности восстановлению и связях с Западом.")</f>
        <v>Конрад Аденауэр (1876–1967) был мэром Кельна и первым канцлером Федеративной Республики. Его дом в Рёндорфе свидетельствует о его приверженности восстановлению и связях с Западом.</v>
      </c>
    </row>
    <row r="15">
      <c r="A15" s="1">
        <v>14.0</v>
      </c>
      <c r="B15" s="1" t="s">
        <v>45</v>
      </c>
      <c r="C15" s="1" t="s">
        <v>46</v>
      </c>
      <c r="D15" s="1">
        <v>512275.0</v>
      </c>
      <c r="E15" s="1">
        <v>6937.0</v>
      </c>
      <c r="F15" s="1" t="s">
        <v>47</v>
      </c>
      <c r="G15" s="1" t="str">
        <f>IFERROR(__xludf.DUMMYFUNCTION("GOOGLETRANSLATE(F15, ""de"", ""ru"")"),"Череп неандертальца, найденный в 1856 году, произвел революцию в понимании эволюции человека. Музей неандертальцев иллюстрирует историю наших ископаемых родственников.")</f>
        <v>Череп неандертальца, найденный в 1856 году, произвел революцию в понимании эволюции человека. Музей неандертальцев иллюстрирует историю наших ископаемых родственников.</v>
      </c>
    </row>
    <row r="16">
      <c r="A16" s="1">
        <v>15.0</v>
      </c>
      <c r="B16" s="1" t="s">
        <v>48</v>
      </c>
      <c r="C16" s="1" t="s">
        <v>49</v>
      </c>
      <c r="D16" s="1">
        <v>512277.0</v>
      </c>
      <c r="E16" s="1">
        <v>67735.0</v>
      </c>
      <c r="F16" s="1" t="s">
        <v>50</v>
      </c>
      <c r="G16" s="1" t="str">
        <f>IFERROR(__xludf.DUMMYFUNCTION("GOOGLETRANSLATE(F16, ""de"", ""ru"")"),"Дюссельдорф сочетает в себе старый город, моду и выставочную культуру с современной архитектурой в медиа-гавани. Рейнская башня предлагает панорамный вид на Рейнский мегаполис, его искусство и торговлю.")</f>
        <v>Дюссельдорф сочетает в себе старый город, моду и выставочную культуру с современной архитектурой в медиа-гавани. Рейнская башня предлагает панорамный вид на Рейнский мегаполис, его искусство и торговлю.</v>
      </c>
    </row>
    <row r="17">
      <c r="A17" s="1">
        <v>16.0</v>
      </c>
      <c r="B17" s="1" t="s">
        <v>51</v>
      </c>
      <c r="C17" s="1" t="s">
        <v>52</v>
      </c>
      <c r="D17" s="1">
        <v>514344.0</v>
      </c>
      <c r="E17" s="1">
        <v>67573.0</v>
      </c>
      <c r="F17" s="1" t="s">
        <v>53</v>
      </c>
      <c r="G17" s="1" t="str">
        <f>IFERROR(__xludf.DUMMYFUNCTION("GOOGLETRANSLATE(F17, ""de"", ""ru"")"),"Внутренняя гавань Дуйсбурга, бывшая когда-то складским и торговым портом, превратилась в культурный и офисный район. Восстановленные зернохранилища и музеи демонстрируют успешный структурный переход от стали к культуре.")</f>
        <v>Внутренняя гавань Дуйсбурга, бывшая когда-то складским и торговым портом, превратилась в культурный и офисный район. Восстановленные зернохранилища и музеи демонстрируют успешный структурный переход от стали к культуре.</v>
      </c>
    </row>
    <row r="18">
      <c r="A18" s="1">
        <v>17.0</v>
      </c>
      <c r="B18" s="1" t="s">
        <v>54</v>
      </c>
      <c r="C18" s="1" t="s">
        <v>55</v>
      </c>
      <c r="D18" s="1">
        <v>514839.0</v>
      </c>
      <c r="E18" s="1">
        <v>70226.0</v>
      </c>
      <c r="F18" s="1" t="s">
        <v>56</v>
      </c>
      <c r="G18" s="1" t="str">
        <f>IFERROR(__xludf.DUMMYFUNCTION("GOOGLETRANSLATE(F18, ""de"", ""ru"")"),"Заброшенная шахта Цольферайн, промышленный ансамбль Баухаус, является объектом Всемирного наследия ЮНЕСКО. Выставки и мероприятия оживляют горнодобывающую историю Рурской области.")</f>
        <v>Заброшенная шахта Цольферайн, промышленный ансамбль Баухаус, является объектом Всемирного наследия ЮНЕСКО. Выставки и мероприятия оживляют горнодобывающую историю Рурской области.</v>
      </c>
    </row>
    <row r="19">
      <c r="A19" s="1">
        <v>18.0</v>
      </c>
      <c r="B19" s="1" t="s">
        <v>57</v>
      </c>
      <c r="C19" s="1" t="s">
        <v>58</v>
      </c>
      <c r="D19" s="1">
        <v>5149.0</v>
      </c>
      <c r="E19" s="1">
        <v>70375.0</v>
      </c>
      <c r="F19" s="1" t="s">
        <v>59</v>
      </c>
      <c r="G19" s="1" t="str">
        <f>IFERROR(__xludf.DUMMYFUNCTION("GOOGLETRANSLATE(F19, ""de"", ""ru"")"),"Коксохимический завод Цольферайн перерабатывал уголь в кокс до 1993 года и теперь является частью мирового культурного наследия. Посетители осматривают извилистые башни, печи и смотровые площадки выдающегося промышленного памятника.")</f>
        <v>Коксохимический завод Цольферайн перерабатывал уголь в кокс до 1993 года и теперь является частью мирового культурного наследия. Посетители осматривают извилистые башни, печи и смотровые площадки выдающегося промышленного памятника.</v>
      </c>
    </row>
    <row r="20">
      <c r="A20" s="1">
        <v>19.0</v>
      </c>
      <c r="B20" s="1" t="s">
        <v>60</v>
      </c>
      <c r="C20" s="1" t="s">
        <v>61</v>
      </c>
      <c r="D20" s="1">
        <v>514925.0</v>
      </c>
      <c r="E20" s="1">
        <v>74517.0</v>
      </c>
      <c r="F20" s="1" t="s">
        <v>62</v>
      </c>
      <c r="G20" s="1" t="str">
        <f>IFERROR(__xludf.DUMMYFUNCTION("GOOGLETRANSLATE(F20, ""de"", ""ru"")"),"Стадион «Боруссии Дортмунд» с легендарной «Желтой стеной» представляет собой фан-культуру Бундеслиги, которая восхищает миллионы с 1963 года.")</f>
        <v>Стадион «Боруссии Дортмунд» с легендарной «Желтой стеной» представляет собой фан-культуру Бундеслиги, которая восхищает миллионы с 1963 года.</v>
      </c>
    </row>
    <row r="21" ht="15.75" customHeight="1">
      <c r="A21" s="1">
        <v>20.0</v>
      </c>
      <c r="B21" s="1" t="s">
        <v>63</v>
      </c>
      <c r="C21" s="1" t="s">
        <v>64</v>
      </c>
      <c r="D21" s="1">
        <v>519628.0</v>
      </c>
      <c r="E21" s="1">
        <v>76254.0</v>
      </c>
      <c r="F21" s="1" t="s">
        <v>65</v>
      </c>
      <c r="G21" s="1" t="str">
        <f>IFERROR(__xludf.DUMMYFUNCTION("GOOGLETRANSLATE(F21, ""de"", ""ru"")"),"Главный рынок Мюнстера с остроконечными домами и аркадами, ратушей и Ламбертикирхе сочетает в себе средневековую архитектуру и реконструкцию. Велосипеды и история мира характеризуют городской пейзаж.")</f>
        <v>Главный рынок Мюнстера с остроконечными домами и аркадами, ратушей и Ламбертикирхе сочетает в себе средневековую архитектуру и реконструкцию. Велосипеды и история мира характеризуют городской пейзаж.</v>
      </c>
    </row>
    <row r="22" ht="15.75" customHeight="1">
      <c r="A22" s="1">
        <v>21.0</v>
      </c>
      <c r="B22" s="1" t="s">
        <v>66</v>
      </c>
      <c r="C22" s="1" t="s">
        <v>67</v>
      </c>
      <c r="D22" s="1">
        <v>520302.0</v>
      </c>
      <c r="E22" s="1">
        <v>85325.0</v>
      </c>
      <c r="F22" s="1" t="s">
        <v>68</v>
      </c>
      <c r="G22" s="1" t="str">
        <f>IFERROR(__xludf.DUMMYFUNCTION("GOOGLETRANSLATE(F22, ""de"", ""ru"")"),"Средневековый Спарренбург возвышается над Билефельдом на окраине Тевтобургского леса, который исторически известен битвой при Варе (9 г. н.э.).")</f>
        <v>Средневековый Спарренбург возвышается над Билефельдом на окраине Тевтобургского леса, который исторически известен битвой при Варе (9 г. н.э.).</v>
      </c>
    </row>
    <row r="23" ht="15.75" customHeight="1">
      <c r="A23" s="1">
        <v>22.0</v>
      </c>
      <c r="B23" s="1" t="s">
        <v>69</v>
      </c>
      <c r="C23" s="1" t="s">
        <v>70</v>
      </c>
      <c r="D23" s="1">
        <v>523759.0</v>
      </c>
      <c r="E23" s="1">
        <v>9732.0</v>
      </c>
      <c r="F23" s="1" t="s">
        <v>71</v>
      </c>
      <c r="G23" s="1" t="str">
        <f>IFERROR(__xludf.DUMMYFUNCTION("GOOGLETRANSLATE(F23, ""de"", ""ru"")"),"Новая ратуша Ганновера Вильгельмина (1913 г.) символизирует реконструкцию города, который теперь является местом проведения торговых ярмарок и зеленым городом с садами Херренхаузен.")</f>
        <v>Новая ратуша Ганновера Вильгельмина (1913 г.) символизирует реконструкцию города, который теперь является местом проведения торговых ярмарок и зеленым городом с садами Херренхаузен.</v>
      </c>
    </row>
    <row r="24" ht="15.75" customHeight="1">
      <c r="A24" s="1">
        <v>23.0</v>
      </c>
      <c r="B24" s="1" t="s">
        <v>72</v>
      </c>
      <c r="C24" s="1" t="s">
        <v>73</v>
      </c>
      <c r="D24" s="1">
        <v>523759.0</v>
      </c>
      <c r="E24" s="1">
        <v>9732.0</v>
      </c>
      <c r="F24" s="1" t="s">
        <v>74</v>
      </c>
      <c r="G24" s="1" t="str">
        <f>IFERROR(__xludf.DUMMYFUNCTION("GOOGLETRANSLATE(F24, ""de"", ""ru"")"),"Политический теоретик Ханна Арендт (1906–1975) родилась в Ганновере. Ханна-Арендт-Плац — напоминание о демократии, свободе и ответственности.")</f>
        <v>Политический теоретик Ханна Арендт (1906–1975) родилась в Ганновере. Ханна-Арендт-Плац — напоминание о демократии, свободе и ответственности.</v>
      </c>
    </row>
    <row r="25" ht="15.75" customHeight="1">
      <c r="A25" s="1">
        <v>24.0</v>
      </c>
      <c r="B25" s="1" t="s">
        <v>75</v>
      </c>
      <c r="C25" s="1" t="s">
        <v>76</v>
      </c>
      <c r="D25" s="1">
        <v>523728.0</v>
      </c>
      <c r="E25" s="1">
        <v>97441.0</v>
      </c>
      <c r="F25" s="1" t="s">
        <v>77</v>
      </c>
      <c r="G25" s="1" t="str">
        <f>IFERROR(__xludf.DUMMYFUNCTION("GOOGLETRANSLATE(F25, ""de"", ""ru"")"),"Экспо 2000 была первой всемирной выставкой в ​​Германии. Павильоны и новые здания Экспо-парка напоминают инновационные концепции о человеке, природе и технологиях.")</f>
        <v>Экспо 2000 была первой всемирной выставкой в ​​Германии. Павильоны и новые здания Экспо-парка напоминают инновационные концепции о человеке, природе и технологиях.</v>
      </c>
    </row>
    <row r="26" ht="15.75" customHeight="1">
      <c r="A26" s="1">
        <v>25.0</v>
      </c>
      <c r="B26" s="1" t="s">
        <v>78</v>
      </c>
      <c r="C26" s="1" t="s">
        <v>79</v>
      </c>
      <c r="D26" s="1">
        <v>523909.0</v>
      </c>
      <c r="E26" s="1">
        <v>97335.0</v>
      </c>
      <c r="F26" s="1" t="s">
        <v>80</v>
      </c>
      <c r="G26" s="1" t="str">
        <f>IFERROR(__xludf.DUMMYFUNCTION("GOOGLETRANSLATE(F26, ""de"", ""ru"")"),"Реконструированный дворец Херренхаузен расположен посреди знаменитых садов Херренхаузен в стиле барокко с водными объектами и ботаническим горным садом.")</f>
        <v>Реконструированный дворец Херренхаузен расположен посреди знаменитых садов Херренхаузен в стиле барокко с водными объектами и ботаническим горным садом.</v>
      </c>
    </row>
    <row r="27" ht="15.75" customHeight="1">
      <c r="A27" s="1">
        <v>26.0</v>
      </c>
      <c r="B27" s="1" t="s">
        <v>81</v>
      </c>
      <c r="C27" s="1" t="s">
        <v>81</v>
      </c>
      <c r="D27" s="1">
        <v>522689.0</v>
      </c>
      <c r="E27" s="1">
        <v>105268.0</v>
      </c>
      <c r="F27" s="1" t="s">
        <v>82</v>
      </c>
      <c r="G27" s="1" t="str">
        <f>IFERROR(__xludf.DUMMYFUNCTION("GOOGLETRANSLATE(F27, ""de"", ""ru"")"),"Перед современным торгово-культурным центром в 2007 году разместили фасад разрушенного во время войны замка Гуэлф – пример традиции в новом обличии.")</f>
        <v>Перед современным торгово-культурным центром в 2007 году разместили фасад разрушенного во время войны замка Гуэлф – пример традиции в новом обличии.</v>
      </c>
    </row>
    <row r="28" ht="15.75" customHeight="1">
      <c r="A28" s="1">
        <v>27.0</v>
      </c>
      <c r="B28" s="1" t="s">
        <v>83</v>
      </c>
      <c r="C28" s="1" t="s">
        <v>84</v>
      </c>
      <c r="D28" s="1">
        <v>524224.0</v>
      </c>
      <c r="E28" s="1">
        <v>107864.0</v>
      </c>
      <c r="F28" s="1" t="s">
        <v>85</v>
      </c>
      <c r="G28" s="1" t="str">
        <f>IFERROR(__xludf.DUMMYFUNCTION("GOOGLETRANSLATE(F28, ""de"", ""ru"")"),"Научный центр Фаэно, спроектированный Захой Хадид, интерактивно инсценирует природные явления. Он дополняет историю Вольфсбургского Автоштадта и VW научным опытом.")</f>
        <v>Научный центр Фаэно, спроектированный Захой Хадид, интерактивно инсценирует природные явления. Он дополняет историю Вольфсбургского Автоштадта и VW научным опытом.</v>
      </c>
    </row>
    <row r="29" ht="15.75" customHeight="1">
      <c r="A29" s="1">
        <v>28.0</v>
      </c>
      <c r="B29" s="1" t="s">
        <v>86</v>
      </c>
      <c r="C29" s="1" t="s">
        <v>87</v>
      </c>
      <c r="D29" s="1">
        <v>524225.0</v>
      </c>
      <c r="E29" s="1">
        <v>107864.0</v>
      </c>
      <c r="F29" s="1" t="s">
        <v>88</v>
      </c>
      <c r="G29" s="1" t="str">
        <f>IFERROR(__xludf.DUMMYFUNCTION("GOOGLETRANSLATE(F29, ""de"", ""ru"")"),"Автоштадт в Вольфсбурге, основанный в 1938 году как место расположения VW Beetle, рассказывает историю компании и автомобиля с помощью павильонов и старинных автомобилей.")</f>
        <v>Автоштадт в Вольфсбурге, основанный в 1938 году как место расположения VW Beetle, рассказывает историю компании и автомобиля с помощью павильонов и старинных автомобилей.</v>
      </c>
    </row>
    <row r="30" ht="15.75" customHeight="1">
      <c r="A30" s="1">
        <v>29.0</v>
      </c>
      <c r="B30" s="1" t="s">
        <v>89</v>
      </c>
      <c r="C30" s="1" t="s">
        <v>90</v>
      </c>
      <c r="D30" s="1">
        <v>519045.0</v>
      </c>
      <c r="E30" s="1">
        <v>104297.0</v>
      </c>
      <c r="F30" s="1" t="s">
        <v>91</v>
      </c>
      <c r="G30" s="1" t="str">
        <f>IFERROR(__xludf.DUMMYFUNCTION("GOOGLETRANSLATE(F30, ""de"", ""ru"")"),"Фахверковый старый город Гослар и рудник Раммельсберг образуют общий объект Всемирного наследия ЮНЕСКО: тысячелетие добычи руды Гарца встречается со средневековым имперским городом.")</f>
        <v>Фахверковый старый город Гослар и рудник Раммельсберг образуют общий объект Всемирного наследия ЮНЕСКО: тысячелетие добычи руды Гарца встречается со средневековым имперским городом.</v>
      </c>
    </row>
    <row r="31" ht="15.75" customHeight="1">
      <c r="A31" s="1">
        <v>30.0</v>
      </c>
      <c r="B31" s="1" t="s">
        <v>92</v>
      </c>
      <c r="C31" s="1" t="s">
        <v>93</v>
      </c>
      <c r="D31" s="1">
        <v>515403.0</v>
      </c>
      <c r="E31" s="1">
        <v>99357.0</v>
      </c>
      <c r="F31" s="1" t="s">
        <v>94</v>
      </c>
      <c r="G31" s="1" t="str">
        <f>IFERROR(__xludf.DUMMYFUNCTION("GOOGLETRANSLATE(F31, ""de"", ""ru"")"),"Геттингенский университет формирует город с 1737 года. Фонтан Гензелизель считается «самой целуемой девушкой в ​​мире», потому что недавно окончившие докторантуру целуют статую.")</f>
        <v>Геттингенский университет формирует город с 1737 года. Фонтан Гензелизель считается «самой целуемой девушкой в ​​мире», потому что недавно окончившие докторантуру целуют статую.</v>
      </c>
    </row>
    <row r="32" ht="15.75" customHeight="1">
      <c r="A32" s="1">
        <v>31.0</v>
      </c>
      <c r="B32" s="1" t="s">
        <v>95</v>
      </c>
      <c r="C32" s="1" t="s">
        <v>96</v>
      </c>
      <c r="D32" s="1">
        <v>513155.0</v>
      </c>
      <c r="E32" s="1">
        <v>94962.0</v>
      </c>
      <c r="F32" s="1" t="s">
        <v>97</v>
      </c>
      <c r="G32" s="1" t="str">
        <f>IFERROR(__xludf.DUMMYFUNCTION("GOOGLETRANSLATE(F32, ""de"", ""ru"")"),"Якоб и Вильгельм Гримм собрали в Касселе свои всемирно известные сказки. Мир Гримм представляет рукописи и лингвистическое наследие.")</f>
        <v>Якоб и Вильгельм Гримм собрали в Касселе свои всемирно известные сказки. Мир Гримм представляет рукописи и лингвистическое наследие.</v>
      </c>
    </row>
    <row r="33" ht="15.75" customHeight="1">
      <c r="A33" s="1">
        <v>32.0</v>
      </c>
      <c r="B33" s="1" t="s">
        <v>98</v>
      </c>
      <c r="C33" s="1" t="s">
        <v>99</v>
      </c>
      <c r="D33" s="1">
        <v>513118.0</v>
      </c>
      <c r="E33" s="1">
        <v>9497.0</v>
      </c>
      <c r="F33" s="1" t="s">
        <v>100</v>
      </c>
      <c r="G33" s="1" t="str">
        <f>IFERROR(__xludf.DUMMYFUNCTION("GOOGLETRANSLATE(F33, ""de"", ""ru"")"),"Документа, которая проводится каждые пять лет, делает Кассель мировой столицей современного искусства и превращает город в огромный музей под открытым небом.")</f>
        <v>Документа, которая проводится каждые пять лет, делает Кассель мировой столицей современного искусства и превращает город в огромный музей под открытым небом.</v>
      </c>
    </row>
    <row r="34" ht="15.75" customHeight="1">
      <c r="A34" s="1">
        <v>33.0</v>
      </c>
      <c r="B34" s="1" t="s">
        <v>101</v>
      </c>
      <c r="C34" s="1" t="s">
        <v>102</v>
      </c>
      <c r="D34" s="1">
        <v>513116.0</v>
      </c>
      <c r="E34" s="1">
        <v>94797.0</v>
      </c>
      <c r="F34" s="1" t="s">
        <v>103</v>
      </c>
      <c r="G34" s="1" t="str">
        <f>IFERROR(__xludf.DUMMYFUNCTION("GOOGLETRANSLATE(F34, ""de"", ""ru"")"),"Самый большой в Европе парк на склоне холма со статуей Геракла и водными объектами в стиле барокко является объектом Всемирного наследия ЮНЕСКО и свидетельством садового искусства ландграфа.")</f>
        <v>Самый большой в Европе парк на склоне холма со статуей Геракла и водными объектами в стиле барокко является объектом Всемирного наследия ЮНЕСКО и свидетельством садового искусства ландграфа.</v>
      </c>
    </row>
    <row r="35" ht="15.75" customHeight="1">
      <c r="A35" s="1">
        <v>34.0</v>
      </c>
      <c r="B35" s="1" t="s">
        <v>104</v>
      </c>
      <c r="C35" s="1" t="s">
        <v>105</v>
      </c>
      <c r="D35" s="1">
        <v>509711.0</v>
      </c>
      <c r="E35" s="1">
        <v>103277.0</v>
      </c>
      <c r="F35" s="1" t="s">
        <v>106</v>
      </c>
      <c r="G35" s="1" t="str">
        <f>IFERROR(__xludf.DUMMYFUNCTION("GOOGLETRANSLATE(F35, ""de"", ""ru"")"),"В 1817 году студенты Вартбурга потребовали национального единства и гражданских свобод. Замок также известен переводом Библии Лютера.")</f>
        <v>В 1817 году студенты Вартбурга потребовали национального единства и гражданских свобод. Замок также известен переводом Библии Лютера.</v>
      </c>
    </row>
    <row r="36" ht="15.75" customHeight="1">
      <c r="A36" s="1">
        <v>35.0</v>
      </c>
      <c r="B36" s="1" t="s">
        <v>107</v>
      </c>
      <c r="C36" s="1" t="s">
        <v>108</v>
      </c>
      <c r="D36" s="1">
        <v>509848.0</v>
      </c>
      <c r="E36" s="1">
        <v>110299.0</v>
      </c>
      <c r="F36" s="1" t="s">
        <v>109</v>
      </c>
      <c r="G36" s="1" t="str">
        <f>IFERROR(__xludf.DUMMYFUNCTION("GOOGLETRANSLATE(F36, ""de"", ""ru"")"),"В готическом соборе Эрфурта находится Глориоза, самый большой свободно качающийся средневековый колокол. Мартин Лютер был рукоположен здесь в священники в 1507 году.")</f>
        <v>В готическом соборе Эрфурта находится Глориоза, самый большой свободно качающийся средневековый колокол. Мартин Лютер был рукоположен здесь в священники в 1507 году.</v>
      </c>
    </row>
    <row r="37" ht="15.75" customHeight="1">
      <c r="A37" s="1">
        <v>36.0</v>
      </c>
      <c r="B37" s="1" t="s">
        <v>110</v>
      </c>
      <c r="C37" s="1" t="s">
        <v>111</v>
      </c>
      <c r="D37" s="1">
        <v>509795.0</v>
      </c>
      <c r="E37" s="1">
        <v>11329.0</v>
      </c>
      <c r="F37" s="1" t="s">
        <v>112</v>
      </c>
      <c r="G37" s="1" t="str">
        <f>IFERROR(__xludf.DUMMYFUNCTION("GOOGLETRANSLATE(F37, ""de"", ""ru"")"),"В доме Гете представлены оригинальные комнаты и коллекции поэта, который вместе с Шиллером сформировал веймарский классицизм.")</f>
        <v>В доме Гете представлены оригинальные комнаты и коллекции поэта, который вместе с Шиллером сформировал веймарский классицизм.</v>
      </c>
    </row>
    <row r="38" ht="15.75" customHeight="1">
      <c r="A38" s="1">
        <v>37.0</v>
      </c>
      <c r="B38" s="1" t="s">
        <v>113</v>
      </c>
      <c r="C38" s="1" t="s">
        <v>114</v>
      </c>
      <c r="D38" s="1">
        <v>509793.0</v>
      </c>
      <c r="E38" s="1">
        <v>113292.0</v>
      </c>
      <c r="F38" s="1" t="s">
        <v>115</v>
      </c>
      <c r="G38" s="1" t="str">
        <f>IFERROR(__xludf.DUMMYFUNCTION("GOOGLETRANSLATE(F38, ""de"", ""ru"")"),"Девальвация валюты Веймарской республики достигла своего пика в 1923 году: цены резко возросли, сбережения рухнули - травма в экономической истории Германии.")</f>
        <v>Девальвация валюты Веймарской республики достигла своего пика в 1923 году: цены резко возросли, сбережения рухнули - травма в экономической истории Германии.</v>
      </c>
    </row>
    <row r="39" ht="15.75" customHeight="1">
      <c r="A39" s="1">
        <v>38.0</v>
      </c>
      <c r="B39" s="1" t="s">
        <v>116</v>
      </c>
      <c r="C39" s="1" t="s">
        <v>117</v>
      </c>
      <c r="D39" s="1">
        <v>505451.0</v>
      </c>
      <c r="E39" s="1">
        <v>112147.0</v>
      </c>
      <c r="F39" s="1" t="s">
        <v>118</v>
      </c>
      <c r="G39" s="1" t="str">
        <f>IFERROR(__xludf.DUMMYFUNCTION("GOOGLETRANSLATE(F39, ""de"", ""ru"")"),"Реннштайг Каммвег длиной 170 км является старейшим пешеходным маршрутом на длинные дистанции в Германии и соединяет культурные и природные ландшафты Тюрингского леса.")</f>
        <v>Реннштайг Каммвег длиной 170 км является старейшим пешеходным маршрутом на длинные дистанции в Германии и соединяет культурные и природные ландшафты Тюрингского леса.</v>
      </c>
    </row>
    <row r="40" ht="15.75" customHeight="1">
      <c r="A40" s="1">
        <v>39.0</v>
      </c>
      <c r="B40" s="1" t="s">
        <v>119</v>
      </c>
      <c r="C40" s="1" t="s">
        <v>120</v>
      </c>
      <c r="D40" s="1">
        <v>505477.0</v>
      </c>
      <c r="E40" s="1">
        <v>111681.0</v>
      </c>
      <c r="F40" s="1" t="s">
        <v>121</v>
      </c>
      <c r="G40" s="1" t="str">
        <f>IFERROR(__xludf.DUMMYFUNCTION("GOOGLETRANSLATE(F40, ""de"", ""ru"")"),"Лауша считается родиной стеклянного елочного шара. Семейные предприятия развивают здесь искусство выдувания стекла с 1597 года.")</f>
        <v>Лауша считается родиной стеклянного елочного шара. Семейные предприятия развивают здесь искусство выдувания стекла с 1597 года.</v>
      </c>
    </row>
    <row r="41" ht="15.75" customHeight="1">
      <c r="A41" s="1">
        <v>40.0</v>
      </c>
      <c r="B41" s="1" t="s">
        <v>122</v>
      </c>
      <c r="C41" s="1" t="s">
        <v>123</v>
      </c>
      <c r="D41" s="1">
        <v>502599.0</v>
      </c>
      <c r="E41" s="1">
        <v>109644.0</v>
      </c>
      <c r="F41" s="1" t="s">
        <v>124</v>
      </c>
      <c r="G41" s="1" t="str">
        <f>IFERROR(__xludf.DUMMYFUNCTION("GOOGLETRANSLATE(F41, ""de"", ""ru"")"),"Весте-Кобург, один из крупнейших замков Германии, хранит коллекции произведений искусства и был местом убежища Лютера в 1530 году.")</f>
        <v>Весте-Кобург, один из крупнейших замков Германии, хранит коллекции произведений искусства и был местом убежища Лютера в 1530 году.</v>
      </c>
    </row>
    <row r="42" ht="15.75" customHeight="1">
      <c r="A42" s="1">
        <v>41.0</v>
      </c>
      <c r="B42" s="1" t="s">
        <v>125</v>
      </c>
      <c r="C42" s="1" t="s">
        <v>126</v>
      </c>
      <c r="D42" s="1">
        <v>501011.0</v>
      </c>
      <c r="E42" s="1">
        <v>11438.0</v>
      </c>
      <c r="F42" s="1" t="s">
        <v>127</v>
      </c>
      <c r="G42" s="1" t="str">
        <f>IFERROR(__xludf.DUMMYFUNCTION("GOOGLETRANSLATE(F42, ""de"", ""ru"")"),"Кульмбах представляет традиции крепкого пива и айсбока в Музее баварского пивоварения и ежегодно отмечает Неделю пива.")</f>
        <v>Кульмбах представляет традиции крепкого пива и айсбока в Музее баварского пивоварения и ежегодно отмечает Неделю пива.</v>
      </c>
    </row>
    <row r="43" ht="15.75" customHeight="1">
      <c r="A43" s="1">
        <v>42.0</v>
      </c>
      <c r="B43" s="1" t="s">
        <v>128</v>
      </c>
      <c r="C43" s="1" t="s">
        <v>129</v>
      </c>
      <c r="D43" s="1">
        <v>501011.0</v>
      </c>
      <c r="E43" s="1">
        <v>11438.0</v>
      </c>
      <c r="F43" s="1" t="s">
        <v>130</v>
      </c>
      <c r="G43" s="1" t="str">
        <f>IFERROR(__xludf.DUMMYFUNCTION("GOOGLETRANSLATE(F43, ""de"", ""ru"")"),"Франконское пивоварение с законом чистоты: крепкое пиво Kulmbacher пользуется международной репутацией и формирует местную идентичность.")</f>
        <v>Франконское пивоварение с законом чистоты: крепкое пиво Kulmbacher пользуется международной репутацией и формирует местную идентичность.</v>
      </c>
    </row>
    <row r="44" ht="15.75" customHeight="1">
      <c r="A44" s="1">
        <v>43.0</v>
      </c>
      <c r="B44" s="1" t="s">
        <v>131</v>
      </c>
      <c r="C44" s="1" t="s">
        <v>132</v>
      </c>
      <c r="D44" s="1">
        <v>499487.0</v>
      </c>
      <c r="E44" s="1">
        <v>11576.0</v>
      </c>
      <c r="F44" s="1" t="s">
        <v>133</v>
      </c>
      <c r="G44" s="1" t="str">
        <f>IFERROR(__xludf.DUMMYFUNCTION("GOOGLETRANSLATE(F44, ""de"", ""ru"")"),"Маркграфский оперный театр (1748 г.) – полностью сохранившийся театр в стиле барокко и объект Всемирного наследия ЮНЕСКО – жемчужина куртуазной фестивальной культуры.")</f>
        <v>Маркграфский оперный театр (1748 г.) – полностью сохранившийся театр в стиле барокко и объект Всемирного наследия ЮНЕСКО – жемчужина куртуазной фестивальной культуры.</v>
      </c>
    </row>
    <row r="45" ht="15.75" customHeight="1">
      <c r="A45" s="1">
        <v>44.0</v>
      </c>
      <c r="B45" s="1" t="s">
        <v>134</v>
      </c>
      <c r="C45" s="1" t="s">
        <v>135</v>
      </c>
      <c r="D45" s="1">
        <v>499451.0</v>
      </c>
      <c r="E45" s="1">
        <v>115908.0</v>
      </c>
      <c r="F45" s="1" t="s">
        <v>136</v>
      </c>
      <c r="G45" s="1" t="str">
        <f>IFERROR(__xludf.DUMMYFUNCTION("GOOGLETRANSLATE(F45, ""de"", ""ru"")"),"Фестивальный зал, открывшийся в 1876 году и акустически спроектированный под музыкальные драмы Вагнера, привлекает на Байройтский фестиваль любителей оперы со всего мира.")</f>
        <v>Фестивальный зал, открывшийся в 1876 году и акустически спроектированный под музыкальные драмы Вагнера, привлекает на Байройтский фестиваль любителей оперы со всего мира.</v>
      </c>
    </row>
    <row r="46" ht="15.75" customHeight="1">
      <c r="A46" s="1">
        <v>45.0</v>
      </c>
      <c r="B46" s="1" t="s">
        <v>137</v>
      </c>
      <c r="C46" s="1" t="s">
        <v>138</v>
      </c>
      <c r="D46" s="1">
        <v>497631.0</v>
      </c>
      <c r="E46" s="1">
        <v>114062.0</v>
      </c>
      <c r="F46" s="1" t="s">
        <v>139</v>
      </c>
      <c r="G46" s="1" t="str">
        <f>IFERROR(__xludf.DUMMYFUNCTION("GOOGLETRANSLATE(F46, ""de"", ""ru"")"),"Суровый карстовый ландшафт со сталактитовыми пещерами и руинами замка с 19 века стал популярным местом для пеших прогулок и скалолазания.")</f>
        <v>Суровый карстовый ландшафт со сталактитовыми пещерами и руинами замка с 19 века стал популярным местом для пеших прогулок и скалолазания.</v>
      </c>
    </row>
    <row r="47" ht="15.75" customHeight="1">
      <c r="A47" s="1">
        <v>46.0</v>
      </c>
      <c r="B47" s="1" t="s">
        <v>140</v>
      </c>
      <c r="C47" s="1" t="s">
        <v>141</v>
      </c>
      <c r="D47" s="1">
        <v>498917.0</v>
      </c>
      <c r="E47" s="1">
        <v>108852.0</v>
      </c>
      <c r="F47" s="1" t="s">
        <v>142</v>
      </c>
      <c r="G47" s="1" t="str">
        <f>IFERROR(__xludf.DUMMYFUNCTION("GOOGLETRANSLATE(F47, ""de"", ""ru"")"),"Старый город Бамберга с семью холмами, романским собором и ратушей в Регнице считается крупнейшим неразрушенным историческим городским пейзажем в Германии.")</f>
        <v>Старый город Бамберга с семью холмами, романским собором и ратушей в Регнице считается крупнейшим неразрушенным историческим городским пейзажем в Германии.</v>
      </c>
    </row>
    <row r="48" ht="15.75" customHeight="1">
      <c r="A48" s="1">
        <v>47.0</v>
      </c>
      <c r="B48" s="1" t="s">
        <v>143</v>
      </c>
      <c r="C48" s="1" t="s">
        <v>144</v>
      </c>
      <c r="D48" s="1">
        <v>494542.0</v>
      </c>
      <c r="E48" s="1">
        <v>110773.0</v>
      </c>
      <c r="F48" s="1" t="s">
        <v>145</v>
      </c>
      <c r="G48" s="1" t="str">
        <f>IFERROR(__xludf.DUMMYFUNCTION("GOOGLETRANSLATE(F48, ""de"", ""ru"")"),"Нюрнбергский рынок Кристкиндлесмаркт, действующий с 16 века, ежегодно привлекает два миллиона посетителей пряниками и деревянными игрушками.")</f>
        <v>Нюрнбергский рынок Кристкиндлесмаркт, действующий с 16 века, ежегодно привлекает два миллиона посетителей пряниками и деревянными игрушками.</v>
      </c>
    </row>
    <row r="49" ht="15.75" customHeight="1">
      <c r="A49" s="1">
        <v>48.0</v>
      </c>
      <c r="B49" s="1" t="s">
        <v>146</v>
      </c>
      <c r="C49" s="1" t="s">
        <v>147</v>
      </c>
      <c r="D49" s="1">
        <v>494528.0</v>
      </c>
      <c r="E49" s="1">
        <v>11078.0</v>
      </c>
      <c r="F49" s="1" t="s">
        <v>148</v>
      </c>
      <c r="G49" s="1" t="str">
        <f>IFERROR(__xludf.DUMMYFUNCTION("GOOGLETRANSLATE(F49, ""de"", ""ru"")"),"Мемориал Нюрнбергского процесса в зале 600 посвящен юридическому расследованию преступлений нацистов и рождению международного уголовного права.")</f>
        <v>Мемориал Нюрнбергского процесса в зале 600 посвящен юридическому расследованию преступлений нацистов и рождению международного уголовного права.</v>
      </c>
    </row>
    <row r="50" ht="15.75" customHeight="1">
      <c r="A50" s="1">
        <v>49.0</v>
      </c>
      <c r="B50" s="1" t="s">
        <v>149</v>
      </c>
      <c r="C50" s="1" t="s">
        <v>150</v>
      </c>
      <c r="D50" s="1">
        <v>48765.0</v>
      </c>
      <c r="E50" s="1">
        <v>114257.0</v>
      </c>
      <c r="F50" s="1" t="s">
        <v>151</v>
      </c>
      <c r="G50" s="1" t="str">
        <f>IFERROR(__xludf.DUMMYFUNCTION("GOOGLETRANSLATE(F50, ""de"", ""ru"")"),"В 1516 году баварские герцоги провозгласили в Ингольштадте Закон о чистоте: пиво может состоять только из воды, ячменя и хмеля — старейший пищевой регламент в мире.")</f>
        <v>В 1516 году баварские герцоги провозгласили в Ингольштадте Закон о чистоте: пиво может состоять только из воды, ячменя и хмеля — старейший пищевой регламент в мире.</v>
      </c>
    </row>
    <row r="51" ht="15.75" customHeight="1">
      <c r="A51" s="1">
        <v>50.0</v>
      </c>
      <c r="B51" s="1" t="s">
        <v>152</v>
      </c>
      <c r="C51" s="1" t="s">
        <v>153</v>
      </c>
      <c r="D51" s="1">
        <v>482188.0</v>
      </c>
      <c r="E51" s="1">
        <v>116247.0</v>
      </c>
      <c r="F51" s="1" t="s">
        <v>154</v>
      </c>
      <c r="G51" s="1" t="str">
        <f>IFERROR(__xludf.DUMMYFUNCTION("GOOGLETRANSLATE(F51, ""de"", ""ru"")"),"«Альянц Арена», открывшаяся в 2005 году с полупрозрачной внешней оболочкой, является домом для футбольного клуба «Бавария» и является одним из самых ярких стадионов в Европе.")</f>
        <v>«Альянц Арена», открывшаяся в 2005 году с полупрозрачной внешней оболочкой, является домом для футбольного клуба «Бавария» и является одним из самых ярких стадионов в Европе.</v>
      </c>
    </row>
    <row r="52" ht="15.75" customHeight="1">
      <c r="A52" s="1">
        <v>51.0</v>
      </c>
      <c r="B52" s="1" t="s">
        <v>155</v>
      </c>
      <c r="C52" s="1" t="s">
        <v>156</v>
      </c>
      <c r="D52" s="1">
        <v>48174.0</v>
      </c>
      <c r="E52" s="1">
        <v>11546.0</v>
      </c>
      <c r="F52" s="1" t="s">
        <v>157</v>
      </c>
      <c r="G52" s="1" t="str">
        <f>IFERROR(__xludf.DUMMYFUNCTION("GOOGLETRANSLATE(F52, ""de"", ""ru"")"),"Игры 1972 года установили новые стандарты благодаря архитектуре палаточной крыши; Нападение на израильскую команду сформировало память о современном районе.")</f>
        <v>Игры 1972 года установили новые стандарты благодаря архитектуре палаточной крыши; Нападение на израильскую команду сформировало память о современном районе.</v>
      </c>
    </row>
    <row r="53" ht="15.75" customHeight="1">
      <c r="A53" s="1">
        <v>52.0</v>
      </c>
      <c r="B53" s="1" t="s">
        <v>158</v>
      </c>
      <c r="C53" s="1" t="s">
        <v>159</v>
      </c>
      <c r="D53" s="1">
        <v>4815.0</v>
      </c>
      <c r="E53" s="1">
        <v>1158.0</v>
      </c>
      <c r="F53" s="1" t="s">
        <v>160</v>
      </c>
      <c r="G53" s="1" t="str">
        <f>IFERROR(__xludf.DUMMYFUNCTION("GOOGLETRANSLATE(F53, ""de"", ""ru"")"),"Софи Шолль распространяла листовки «Белая роза» в ЛМУ в 1943 году. Сегодня мемориальные доски напоминают нам об их мужественном сопротивлении нацистскому режиму.")</f>
        <v>Софи Шолль распространяла листовки «Белая роза» в ЛМУ в 1943 году. Сегодня мемориальные доски напоминают нам об их мужественном сопротивлении нацистскому режиму.</v>
      </c>
    </row>
    <row r="54" ht="15.75" customHeight="1">
      <c r="A54" s="1">
        <v>53.0</v>
      </c>
      <c r="B54" s="1" t="s">
        <v>161</v>
      </c>
      <c r="C54" s="1" t="s">
        <v>162</v>
      </c>
      <c r="D54" s="1">
        <v>481312.0</v>
      </c>
      <c r="E54" s="1">
        <v>115497.0</v>
      </c>
      <c r="F54" s="1" t="s">
        <v>163</v>
      </c>
      <c r="G54" s="1" t="str">
        <f>IFERROR(__xludf.DUMMYFUNCTION("GOOGLETRANSLATE(F54, ""de"", ""ru"")"),"Мюнхен празднует Октоберфест с 1810 года. Огромные пивные палатки, аттракционы и традиционные костюмы ежегодно привлекают миллионы посетителей.")</f>
        <v>Мюнхен празднует Октоберфест с 1810 года. Огромные пивные палатки, аттракционы и традиционные костюмы ежегодно привлекают миллионы посетителей.</v>
      </c>
    </row>
    <row r="55" ht="15.75" customHeight="1">
      <c r="A55" s="1">
        <v>54.0</v>
      </c>
      <c r="B55" s="1" t="s">
        <v>164</v>
      </c>
      <c r="C55" s="1" t="s">
        <v>165</v>
      </c>
      <c r="D55" s="1">
        <v>475576.0</v>
      </c>
      <c r="E55" s="1">
        <v>107498.0</v>
      </c>
      <c r="F55" s="1" t="s">
        <v>166</v>
      </c>
      <c r="G55" s="1" t="str">
        <f>IFERROR(__xludf.DUMMYFUNCTION("GOOGLETRANSLATE(F55, ""de"", ""ru"")"),"Сказочный замок короля Людвига (1869 г.) воплощает романтический историзм в альпийской обстановке и послужил образцом для замка Диснея.")</f>
        <v>Сказочный замок короля Людвига (1869 г.) воплощает романтический историзм в альпийской обстановке и послужил образцом для замка Диснея.</v>
      </c>
    </row>
    <row r="56" ht="15.75" customHeight="1">
      <c r="A56" s="1">
        <v>55.0</v>
      </c>
      <c r="B56" s="1" t="s">
        <v>167</v>
      </c>
      <c r="C56" s="1" t="s">
        <v>168</v>
      </c>
      <c r="D56" s="1">
        <v>476514.0</v>
      </c>
      <c r="E56" s="1">
        <v>9478.0</v>
      </c>
      <c r="F56" s="1" t="s">
        <v>169</v>
      </c>
      <c r="G56" s="1" t="str">
        <f>IFERROR(__xludf.DUMMYFUNCTION("GOOGLETRANSLATE(F56, ""de"", ""ru"")"),"Первый в мире дирижабль взлетел здесь в 1900 году. В музее представлены экспонаты эпохи дирижаблей, в том числе часть «Гинденбурга».")</f>
        <v>Первый в мире дирижабль взлетел здесь в 1900 году. В музее представлены экспонаты эпохи дирижаблей, в том числе часть «Гинденбурга».</v>
      </c>
    </row>
    <row r="57" ht="15.75" customHeight="1">
      <c r="A57" s="1">
        <v>56.0</v>
      </c>
      <c r="B57" s="1" t="s">
        <v>170</v>
      </c>
      <c r="C57" s="1" t="s">
        <v>171</v>
      </c>
      <c r="D57" s="1">
        <v>484011.0</v>
      </c>
      <c r="E57" s="1">
        <v>99876.0</v>
      </c>
      <c r="F57" s="1" t="s">
        <v>172</v>
      </c>
      <c r="G57" s="1" t="str">
        <f>IFERROR(__xludf.DUMMYFUNCTION("GOOGLETRANSLATE(F57, ""de"", ""ru"")"),"Альберт Эйнштейн, родившийся в Ульме в 1879 году, произвел революцию в физике, создав теорию относительности и квантовую теорию. Фонтан посвящен памяти гению.")</f>
        <v>Альберт Эйнштейн, родившийся в Ульме в 1879 году, произвел революцию в физике, создав теорию относительности и квантовую теорию. Фонтан посвящен памяти гению.</v>
      </c>
    </row>
    <row r="58" ht="15.75" customHeight="1">
      <c r="A58" s="1">
        <v>57.0</v>
      </c>
      <c r="B58" s="1" t="s">
        <v>173</v>
      </c>
      <c r="C58" s="1" t="s">
        <v>174</v>
      </c>
      <c r="D58" s="1">
        <v>487904.0</v>
      </c>
      <c r="E58" s="1">
        <v>92183.0</v>
      </c>
      <c r="F58" s="1" t="s">
        <v>175</v>
      </c>
      <c r="G58" s="1" t="str">
        <f>IFERROR(__xludf.DUMMYFUNCTION("GOOGLETRANSLATE(F58, ""de"", ""ru"")"),"Cannstatter Volksfest (с 1818 года) является вторым по величине немецким пивным и фольклорным фестивалем после Октоберфеста и ежегодно привлекает около четырех миллионов гостей.")</f>
        <v>Cannstatter Volksfest (с 1818 года) является вторым по величине немецким пивным и фольклорным фестивалем после Октоберфеста и ежегодно привлекает около четырех миллионов гостей.</v>
      </c>
    </row>
    <row r="59" ht="15.75" customHeight="1">
      <c r="A59" s="1">
        <v>58.0</v>
      </c>
      <c r="B59" s="1" t="s">
        <v>176</v>
      </c>
      <c r="C59" s="1" t="s">
        <v>176</v>
      </c>
      <c r="D59" s="1">
        <v>494106.0</v>
      </c>
      <c r="E59" s="1">
        <v>87151.0</v>
      </c>
      <c r="F59" s="1" t="s">
        <v>177</v>
      </c>
      <c r="G59" s="1" t="str">
        <f>IFERROR(__xludf.DUMMYFUNCTION("GOOGLETRANSLATE(F59, ""de"", ""ru"")"),"Романтические руины замка над Неккаром были резиденцией избирателей. Фасады эпохи Возрождения и Большая бочка уже вдохновили Гете.")</f>
        <v>Романтические руины замка над Неккаром были резиденцией избирателей. Фасады эпохи Возрождения и Большая бочка уже вдохновили Гете.</v>
      </c>
    </row>
    <row r="60" ht="15.75" customHeight="1">
      <c r="A60" s="1">
        <v>59.0</v>
      </c>
      <c r="B60" s="1" t="s">
        <v>178</v>
      </c>
      <c r="C60" s="1" t="s">
        <v>179</v>
      </c>
      <c r="D60" s="1">
        <v>494875.0</v>
      </c>
      <c r="E60" s="1">
        <v>8466.0</v>
      </c>
      <c r="F60" s="1" t="s">
        <v>180</v>
      </c>
      <c r="G60" s="1" t="str">
        <f>IFERROR(__xludf.DUMMYFUNCTION("GOOGLETRANSLATE(F60, ""de"", ""ru"")"),"Карл Бенц построил первый практичный автомобиль в Мангейме в 1885/86 году. Первое дальнее путешествие Берты Бенц доказало его пригодность для повседневного использования.")</f>
        <v>Карл Бенц построил первый практичный автомобиль в Мангейме в 1885/86 году. Первое дальнее путешествие Берты Бенц доказало его пригодность для повседневного использования.</v>
      </c>
    </row>
    <row r="61" ht="15.75" customHeight="1">
      <c r="A61" s="1">
        <v>60.0</v>
      </c>
      <c r="B61" s="1" t="s">
        <v>181</v>
      </c>
      <c r="C61" s="1" t="s">
        <v>182</v>
      </c>
      <c r="D61" s="1">
        <v>497913.0</v>
      </c>
      <c r="E61" s="1">
        <v>99534.0</v>
      </c>
      <c r="F61" s="1" t="s">
        <v>183</v>
      </c>
      <c r="G61" s="1" t="str">
        <f>IFERROR(__xludf.DUMMYFUNCTION("GOOGLETRANSLATE(F61, ""de"", ""ru"")"),"Вюрцбургская резиденция (1720–1744) с фреской Тьеполо и Зеркальным залом считается главным произведением южногерманского барокко и является объектом Всемирного наследия ЮНЕСКО.")</f>
        <v>Вюрцбургская резиденция (1720–1744) с фреской Тьеполо и Зеркальным залом считается главным произведением южногерманского барокко и является объектом Всемирного наследия ЮНЕСКО.</v>
      </c>
    </row>
    <row r="62" ht="15.75" customHeight="1">
      <c r="A62" s="1">
        <v>61.0</v>
      </c>
      <c r="B62" s="1" t="s">
        <v>184</v>
      </c>
      <c r="C62" s="1" t="s">
        <v>185</v>
      </c>
      <c r="D62" s="1">
        <v>481275.0</v>
      </c>
      <c r="E62" s="1">
        <v>82364.0</v>
      </c>
      <c r="F62" s="1" t="s">
        <v>186</v>
      </c>
      <c r="G62" s="1" t="str">
        <f>IFERROR(__xludf.DUMMYFUNCTION("GOOGLETRANSLATE(F62, ""de"", ""ru"")"),"Крем-шоколадно-вишневый торт с киршем был создан в Шварцвальде. В Café Schäfer их подают по старинному рецепту.")</f>
        <v>Крем-шоколадно-вишневый торт с киршем был создан в Шварцвальде. В Café Schäfer их подают по старинному рецепту.</v>
      </c>
    </row>
    <row r="63" ht="15.75" customHeight="1">
      <c r="A63" s="1">
        <v>62.0</v>
      </c>
      <c r="B63" s="1" t="s">
        <v>187</v>
      </c>
      <c r="C63" s="1" t="s">
        <v>188</v>
      </c>
      <c r="D63" s="1">
        <v>507753.0</v>
      </c>
      <c r="E63" s="1">
        <v>60839.0</v>
      </c>
      <c r="F63" s="1" t="s">
        <v>189</v>
      </c>
      <c r="G63" s="1" t="str">
        <f>IFERROR(__xludf.DUMMYFUNCTION("GOOGLETRANSLATE(F63, ""de"", ""ru"")"),"Пфальцская капелла Карла (8-9 века) и готический хор являются первым объектом Всемирного наследия ЮНЕСКО в Германии. Здесь короновались более 30 немецких королей.")</f>
        <v>Пфальцская капелла Карла (8-9 века) и готический хор являются первым объектом Всемирного наследия ЮНЕСКО в Германии. Здесь короновались более 30 немецких королей.</v>
      </c>
    </row>
    <row r="64" ht="15.75" customHeight="1">
      <c r="A64" s="1">
        <v>63.0</v>
      </c>
      <c r="B64" s="1" t="s">
        <v>190</v>
      </c>
      <c r="C64" s="1" t="s">
        <v>191</v>
      </c>
      <c r="D64" s="1">
        <v>50776.0</v>
      </c>
      <c r="E64" s="1">
        <v>60839.0</v>
      </c>
      <c r="F64" s="1" t="s">
        <v>192</v>
      </c>
      <c r="G64" s="1" t="str">
        <f>IFERROR(__xludf.DUMMYFUNCTION("GOOGLETRANSLATE(F64, ""de"", ""ru"")"),"Сокровище Ахенского собора с храмом Карла Великого и храмом Марии является одним из самых важных церковных сокровищ в Европе и дополняет собор Всемирного наследия.")</f>
        <v>Сокровище Ахенского собора с храмом Карла Великого и храмом Марии является одним из самых важных церковных сокровищ в Европе и дополняет собор Всемирного наследия.</v>
      </c>
    </row>
    <row r="65" ht="15.75" customHeight="1">
      <c r="A65" s="1">
        <v>64.0</v>
      </c>
      <c r="B65" s="1" t="s">
        <v>193</v>
      </c>
      <c r="C65" s="1" t="s">
        <v>194</v>
      </c>
      <c r="D65" s="1">
        <v>515281.0</v>
      </c>
      <c r="E65" s="1">
        <v>115487.0</v>
      </c>
      <c r="F65" s="1" t="s">
        <v>195</v>
      </c>
      <c r="G65" s="1" t="str">
        <f>IFERROR(__xludf.DUMMYFUNCTION("GOOGLETRANSLATE(F65, ""de"", ""ru"")"),"Дома рождения и смерти Лютера в Айслебене являются объектом Всемирного наследия ЮНЕСКО и документируют жизнь и влияние реформатора.")</f>
        <v>Дома рождения и смерти Лютера в Айслебене являются объектом Всемирного наследия ЮНЕСКО и документируют жизнь и влияние реформатора.</v>
      </c>
    </row>
    <row r="66" ht="15.75" customHeight="1">
      <c r="A66" s="1">
        <v>65.0</v>
      </c>
      <c r="B66" s="1" t="s">
        <v>196</v>
      </c>
      <c r="C66" s="1" t="s">
        <v>197</v>
      </c>
      <c r="D66" s="1">
        <v>518349.0</v>
      </c>
      <c r="E66" s="1">
        <v>122424.0</v>
      </c>
      <c r="F66" s="1" t="s">
        <v>198</v>
      </c>
      <c r="G66" s="1" t="str">
        <f>IFERROR(__xludf.DUMMYFUNCTION("GOOGLETRANSLATE(F66, ""de"", ""ru"")"),"Главные дома Гропиуса (1925/26) для учителей Баухауза, таких как Кандинский, представляют собой функциональную архитектуру Баухауза в ее первоначальном состоянии.")</f>
        <v>Главные дома Гропиуса (1925/26) для учителей Баухауза, таких как Кандинский, представляют собой функциональную архитектуру Баухауза в ее первоначальном состоянии.</v>
      </c>
    </row>
    <row r="67" ht="15.75" customHeight="1">
      <c r="A67" s="1">
        <v>66.0</v>
      </c>
      <c r="B67" s="1" t="s">
        <v>199</v>
      </c>
      <c r="C67" s="1" t="s">
        <v>200</v>
      </c>
      <c r="D67" s="1">
        <v>518367.0</v>
      </c>
      <c r="E67" s="1">
        <v>122428.0</v>
      </c>
      <c r="F67" s="1" t="s">
        <v>201</v>
      </c>
      <c r="G67" s="1" t="str">
        <f>IFERROR(__xludf.DUMMYFUNCTION("GOOGLETRANSLATE(F67, ""de"", ""ru"")"),"Здание Баухауза (1926 г.) со стеклянным фасадом представляет собой сплав искусства, мастерства и промышленности — веху современности.")</f>
        <v>Здание Баухауза (1926 г.) со стеклянным фасадом представляет собой сплав искусства, мастерства и промышленности — веху современности.</v>
      </c>
    </row>
    <row r="68" ht="15.75" customHeight="1">
      <c r="A68" s="1">
        <v>67.0</v>
      </c>
      <c r="B68" s="1" t="s">
        <v>202</v>
      </c>
      <c r="C68" s="1" t="s">
        <v>203</v>
      </c>
      <c r="D68" s="1">
        <v>518661.0</v>
      </c>
      <c r="E68" s="1">
        <v>126477.0</v>
      </c>
      <c r="F68" s="1" t="s">
        <v>204</v>
      </c>
      <c r="G68" s="1" t="str">
        <f>IFERROR(__xludf.DUMMYFUNCTION("GOOGLETRANSLATE(F68, ""de"", ""ru"")"),"95 тезисов Лютера, произнесенные в 1517 году в замковой церкви, положили начало Реформации и навсегда изменили церковь и общество.")</f>
        <v>95 тезисов Лютера, произнесенные в 1517 году в замковой церкви, положили начало Реформации и навсегда изменили церковь и общество.</v>
      </c>
    </row>
    <row r="69" ht="15.75" customHeight="1">
      <c r="A69" s="1">
        <v>68.0</v>
      </c>
      <c r="B69" s="1" t="s">
        <v>205</v>
      </c>
      <c r="C69" s="1" t="s">
        <v>206</v>
      </c>
      <c r="D69" s="1">
        <v>513393.0</v>
      </c>
      <c r="E69" s="1">
        <v>123747.0</v>
      </c>
      <c r="F69" s="1" t="s">
        <v>207</v>
      </c>
      <c r="G69" s="1" t="str">
        <f>IFERROR(__xludf.DUMMYFUNCTION("GOOGLETRANSLATE(F69, ""de"", ""ru"")"),"Дни джаза в Лейпциге (с 1976 года) собирают великих джазовых музыкантов со всего мира в исторических местах, таких как андеграунд Морицбастай.")</f>
        <v>Дни джаза в Лейпциге (с 1976 года) собирают великих джазовых музыкантов со всего мира в исторических местах, таких как андеграунд Морицбастай.</v>
      </c>
    </row>
    <row r="70" ht="15.75" customHeight="1">
      <c r="A70" s="1">
        <v>69.0</v>
      </c>
      <c r="B70" s="1" t="s">
        <v>208</v>
      </c>
      <c r="C70" s="1" t="s">
        <v>209</v>
      </c>
      <c r="D70" s="1">
        <v>513388.0</v>
      </c>
      <c r="E70" s="1">
        <v>123723.0</v>
      </c>
      <c r="F70" s="1" t="s">
        <v>210</v>
      </c>
      <c r="G70" s="1" t="str">
        <f>IFERROR(__xludf.DUMMYFUNCTION("GOOGLETRANSLATE(F70, ""de"", ""ru"")"),"С 1723 года Бах работал Томаскантором в Лейпциге. В музее представлены рукописи и инструменты композитора эпохи барокко.")</f>
        <v>С 1723 года Бах работал Томаскантором в Лейпциге. В музее представлены рукописи и инструменты композитора эпохи барокко.</v>
      </c>
    </row>
    <row r="71" ht="15.75" customHeight="1">
      <c r="A71" s="1">
        <v>70.0</v>
      </c>
      <c r="B71" s="1" t="s">
        <v>211</v>
      </c>
      <c r="C71" s="1" t="s">
        <v>212</v>
      </c>
      <c r="D71" s="1">
        <v>513128.0</v>
      </c>
      <c r="E71" s="1">
        <v>124134.0</v>
      </c>
      <c r="F71" s="1" t="s">
        <v>213</v>
      </c>
      <c r="G71" s="1" t="str">
        <f>IFERROR(__xludf.DUMMYFUNCTION("GOOGLETRANSLATE(F71, ""de"", ""ru"")"),"Монумент «Битва народов» высотой 91 метр увековечивает поражение Наполеона в величайшей битве перед Первой мировой войной.")</f>
        <v>Монумент «Битва народов» высотой 91 метр увековечивает поражение Наполеона в величайшей битве перед Первой мировой войной.</v>
      </c>
    </row>
    <row r="72" ht="15.75" customHeight="1">
      <c r="A72" s="1">
        <v>71.0</v>
      </c>
      <c r="B72" s="1" t="s">
        <v>214</v>
      </c>
      <c r="C72" s="1" t="s">
        <v>215</v>
      </c>
      <c r="D72" s="1">
        <v>511642.0</v>
      </c>
      <c r="E72" s="1">
        <v>134827.0</v>
      </c>
      <c r="F72" s="1" t="s">
        <v>216</v>
      </c>
      <c r="G72" s="1" t="str">
        <f>IFERROR(__xludf.DUMMYFUNCTION("GOOGLETRANSLATE(F72, ""de"", ""ru"")"),"Первый европейский твердый фарфор был создан в Мейсене в 1710 году. В музее представлены шедевры со скрещенными мечами.")</f>
        <v>Первый европейский твердый фарфор был создан в Мейсене в 1710 году. В музее представлены шедевры со скрещенными мечами.</v>
      </c>
    </row>
    <row r="73" ht="15.75" customHeight="1">
      <c r="A73" s="1">
        <v>72.0</v>
      </c>
      <c r="B73" s="1" t="s">
        <v>217</v>
      </c>
      <c r="C73" s="1" t="s">
        <v>218</v>
      </c>
      <c r="D73" s="1">
        <v>523948.0</v>
      </c>
      <c r="E73" s="1">
        <v>130644.0</v>
      </c>
      <c r="F73" s="1" t="s">
        <v>219</v>
      </c>
      <c r="G73" s="1" t="str">
        <f>IFERROR(__xludf.DUMMYFUNCTION("GOOGLETRANSLATE(F73, ""de"", ""ru"")"),"В технологическом музее представлены локомотивы, корабли и «изюмный бомбардировщик» на крыше – практическая история техники.")</f>
        <v>В технологическом музее представлены локомотивы, корабли и «изюмный бомбардировщик» на крыше – практическая история техники.</v>
      </c>
    </row>
    <row r="74" ht="15.75" customHeight="1">
      <c r="A74" s="1">
        <v>73.0</v>
      </c>
      <c r="B74" s="1" t="s">
        <v>220</v>
      </c>
      <c r="C74" s="1" t="s">
        <v>221</v>
      </c>
      <c r="D74" s="1">
        <v>523969.0</v>
      </c>
      <c r="E74" s="1">
        <v>130586.0</v>
      </c>
      <c r="F74" s="1" t="s">
        <v>222</v>
      </c>
      <c r="G74" s="1" t="str">
        <f>IFERROR(__xludf.DUMMYFUNCTION("GOOGLETRANSLATE(F74, ""de"", ""ru"")"),"Фридрих Великий приказал построить Сан-Суси (1747 г.) как летнюю резиденцию в стиле рококо над террасами виноградников; Парк и замки являются объектами Всемирного наследия ЮНЕСКО.")</f>
        <v>Фридрих Великий приказал построить Сан-Суси (1747 г.) как летнюю резиденцию в стиле рококо над террасами виноградников; Парк и замки являются объектами Всемирного наследия ЮНЕСКО.</v>
      </c>
    </row>
    <row r="75" ht="15.75" customHeight="1">
      <c r="A75" s="1">
        <v>74.0</v>
      </c>
      <c r="B75" s="1" t="s">
        <v>223</v>
      </c>
      <c r="C75" s="1" t="s">
        <v>224</v>
      </c>
      <c r="D75" s="1">
        <v>524039.0</v>
      </c>
      <c r="E75" s="1">
        <v>130682.0</v>
      </c>
      <c r="F75" s="1" t="s">
        <v>225</v>
      </c>
      <c r="G75" s="1" t="str">
        <f>IFERROR(__xludf.DUMMYFUNCTION("GOOGLETRANSLATE(F75, ""de"", ""ru"")"),"Студия Бабельсберг (с 1912 г.) — колыбель немецкого кино. Кинопарк дает представление о декорациях, трюках и технике выполнения трюков.")</f>
        <v>Студия Бабельсберг (с 1912 г.) — колыбель немецкого кино. Кинопарк дает представление о декорациях, трюках и технике выполнения трюков.</v>
      </c>
    </row>
    <row r="76" ht="15.75" customHeight="1">
      <c r="A76" s="1">
        <v>75.0</v>
      </c>
      <c r="B76" s="1" t="s">
        <v>226</v>
      </c>
      <c r="C76" s="1" t="s">
        <v>227</v>
      </c>
      <c r="D76" s="1">
        <v>524731.0</v>
      </c>
      <c r="E76" s="1">
        <v>13403.0</v>
      </c>
      <c r="F76" s="1" t="s">
        <v>228</v>
      </c>
      <c r="G76" s="1" t="str">
        <f>IFERROR(__xludf.DUMMYFUNCTION("GOOGLETRANSLATE(F76, ""de"", ""ru"")"),"В 1948/49 году бомбардировщики-изюминки снабжали блокадную западную часть города через аэропорт Темпельхоф — символ западной солидарности.")</f>
        <v>В 1948/49 году бомбардировщики-изюминки снабжали блокадную западную часть города через аэропорт Темпельхоф — символ западной солидарности.</v>
      </c>
    </row>
    <row r="77" ht="15.75" customHeight="1">
      <c r="A77" s="1">
        <v>76.0</v>
      </c>
      <c r="B77" s="1" t="s">
        <v>229</v>
      </c>
      <c r="C77" s="1" t="s">
        <v>230</v>
      </c>
      <c r="D77" s="1">
        <v>525076.0</v>
      </c>
      <c r="E77" s="1">
        <v>133904.0</v>
      </c>
      <c r="F77" s="1" t="s">
        <v>231</v>
      </c>
      <c r="G77" s="1" t="str">
        <f>IFERROR(__xludf.DUMMYFUNCTION("GOOGLETRANSLATE(F77, ""de"", ""ru"")"),"Самый известный переход границы в Берлине стал ареной ожесточенного танкового противостояния между США и СССР в октябре 1961 года.")</f>
        <v>Самый известный переход границы в Берлине стал ареной ожесточенного танкового противостояния между США и СССР в октябре 1961 года.</v>
      </c>
    </row>
    <row r="78" ht="15.75" customHeight="1">
      <c r="A78" s="1">
        <v>77.0</v>
      </c>
      <c r="B78" s="1" t="s">
        <v>232</v>
      </c>
      <c r="C78" s="1" t="s">
        <v>233</v>
      </c>
      <c r="D78" s="1">
        <v>525163.0</v>
      </c>
      <c r="E78" s="1">
        <v>133777.0</v>
      </c>
      <c r="F78" s="1" t="s">
        <v>234</v>
      </c>
      <c r="G78" s="1" t="str">
        <f>IFERROR(__xludf.DUMMYFUNCTION("GOOGLETRANSLATE(F78, ""de"", ""ru"")"),"Классицистические ворота (1791 г.) простояли на стене до 1989 г., а после ее падения стали символом немецкого единства.")</f>
        <v>Классицистические ворота (1791 г.) простояли на стене до 1989 г., а после ее падения стали символом немецкого единства.</v>
      </c>
    </row>
    <row r="79" ht="15.75" customHeight="1">
      <c r="A79" s="1">
        <v>78.0</v>
      </c>
      <c r="B79" s="1" t="s">
        <v>235</v>
      </c>
      <c r="C79" s="1" t="s">
        <v>236</v>
      </c>
      <c r="D79" s="1">
        <v>525114.0</v>
      </c>
      <c r="E79" s="1">
        <v>13439.0</v>
      </c>
      <c r="F79" s="1" t="s">
        <v>237</v>
      </c>
      <c r="G79" s="1" t="str">
        <f>IFERROR(__xludf.DUMMYFUNCTION("GOOGLETRANSLATE(F79, ""de"", ""ru"")"),"Клуб Berghain в здании бывшей электростанции считается техно-меккой: бескомпромиссная дверная политика и первоклассный звук создают культовый статус.")</f>
        <v>Клуб Berghain в здании бывшей электростанции считается техно-меккой: бескомпромиссная дверная политика и первоклассный звук создают культовый статус.</v>
      </c>
    </row>
    <row r="80" ht="15.75" customHeight="1">
      <c r="A80" s="1">
        <v>79.0</v>
      </c>
      <c r="B80" s="1" t="s">
        <v>238</v>
      </c>
      <c r="C80" s="1" t="s">
        <v>239</v>
      </c>
      <c r="D80" s="1">
        <v>525045.0</v>
      </c>
      <c r="E80" s="1">
        <v>134408.0</v>
      </c>
      <c r="F80" s="1" t="s">
        <v>240</v>
      </c>
      <c r="G80" s="1" t="str">
        <f>IFERROR(__xludf.DUMMYFUNCTION("GOOGLETRANSLATE(F80, ""de"", ""ru"")"),"На раскрашенных 1,3-километровых руинах стен можно увидеть более 100 фресок, выражающих радость мирной революции 1989 года.")</f>
        <v>На раскрашенных 1,3-километровых руинах стен можно увидеть более 100 фресок, выражающих радость мирной революции 1989 года.</v>
      </c>
    </row>
    <row r="81" ht="15.75" customHeight="1">
      <c r="A81" s="1">
        <v>80.0</v>
      </c>
      <c r="B81" s="1" t="s">
        <v>241</v>
      </c>
      <c r="C81" s="1" t="s">
        <v>242</v>
      </c>
      <c r="D81" s="1">
        <v>53125.0</v>
      </c>
      <c r="E81" s="1">
        <v>13093.0</v>
      </c>
      <c r="F81" s="1" t="s">
        <v>243</v>
      </c>
      <c r="G81" s="1" t="str">
        <f>IFERROR(__xludf.DUMMYFUNCTION("GOOGLETRANSLATE(F81, ""de"", ""ru"")"),"Замок Фюрстенберг расположен в парковом ландшафте северной земли Бранденбург, богатой озерами и лесами, и отражает аристократическую культуру в естественной среде.")</f>
        <v>Замок Фюрстенберг расположен в парковом ландшафте северной земли Бранденбург, богатой озерами и лесами, и отражает аристократическую культуру в естественной среде.</v>
      </c>
    </row>
    <row r="82" ht="15.75" customHeight="1">
      <c r="A82" s="1">
        <v>81.0</v>
      </c>
      <c r="B82" s="1" t="s">
        <v>244</v>
      </c>
      <c r="C82" s="1" t="s">
        <v>245</v>
      </c>
      <c r="D82" s="1">
        <v>530913.0</v>
      </c>
      <c r="E82" s="1">
        <v>129084.0</v>
      </c>
      <c r="F82" s="1" t="s">
        <v>246</v>
      </c>
      <c r="G82" s="1" t="str">
        <f>IFERROR(__xludf.DUMMYFUNCTION("GOOGLETRANSLATE(F82, ""de"", ""ru"")"),"Замок Райнсберг на Гринерикзее, когда-то резиденция Фридриха Великого, представляет собой идиллические озера Земли Руппинер.")</f>
        <v>Замок Райнсберг на Гринерикзее, когда-то резиденция Фридриха Великого, представляет собой идиллические озера Земли Руппинер.</v>
      </c>
    </row>
    <row r="83" ht="15.75" customHeight="1">
      <c r="A83" s="1">
        <v>82.0</v>
      </c>
      <c r="B83" s="1" t="s">
        <v>247</v>
      </c>
      <c r="C83" s="1" t="s">
        <v>248</v>
      </c>
      <c r="D83" s="1">
        <v>535211.0</v>
      </c>
      <c r="E83" s="1">
        <v>126801.0</v>
      </c>
      <c r="F83" s="1" t="s">
        <v>249</v>
      </c>
      <c r="G83" s="1" t="str">
        <f>IFERROR(__xludf.DUMMYFUNCTION("GOOGLETRANSLATE(F83, ""de"", ""ru"")"),"Самый большой пресноводный аквариум Германии предоставляет информацию о флоре и фауне Мекленбургского поозерья в Мюрицеуме.")</f>
        <v>Самый большой пресноводный аквариум Германии предоставляет информацию о флоре и фауне Мекленбургского поозерья в Мюрицеуме.</v>
      </c>
    </row>
    <row r="84" ht="15.75" customHeight="1">
      <c r="A84" s="1">
        <v>83.0</v>
      </c>
      <c r="B84" s="1" t="s">
        <v>250</v>
      </c>
      <c r="C84" s="1" t="s">
        <v>251</v>
      </c>
      <c r="D84" s="1">
        <v>540865.0</v>
      </c>
      <c r="E84" s="1">
        <v>121095.0</v>
      </c>
      <c r="F84" s="1" t="s">
        <v>252</v>
      </c>
      <c r="G84" s="1" t="str">
        <f>IFERROR(__xludf.DUMMYFUNCTION("GOOGLETRANSLATE(F84, ""de"", ""ru"")"),"Alter Strom в Варнемюнде демонстрирует морские традиции ганзейского города Росток с рыбацкими лодками и капитанскими домами.")</f>
        <v>Alter Strom в Варнемюнде демонстрирует морские традиции ганзейского города Росток с рыбацкими лодками и капитанскими домами.</v>
      </c>
    </row>
    <row r="85" ht="15.75" customHeight="1">
      <c r="A85" s="1">
        <v>84.0</v>
      </c>
      <c r="B85" s="1" t="s">
        <v>253</v>
      </c>
      <c r="C85" s="1" t="s">
        <v>254</v>
      </c>
      <c r="D85" s="1">
        <v>543996.0</v>
      </c>
      <c r="E85" s="1">
        <v>124539.0</v>
      </c>
      <c r="F85" s="1" t="s">
        <v>255</v>
      </c>
      <c r="G85" s="1" t="str">
        <f>IFERROR(__xludf.DUMMYFUNCTION("GOOGLETRANSLATE(F85, ""de"", ""ru"")"),"Бывшая рыбацкая деревня Аренсхоп с 1890 года стала колонией художников; Соломенные крыши и свет Балтийского моря продолжают вдохновлять художников и сегодня.")</f>
        <v>Бывшая рыбацкая деревня Аренсхоп с 1890 года стала колонией художников; Соломенные крыши и свет Балтийского моря продолжают вдохновлять художников и сегодня.</v>
      </c>
    </row>
    <row r="86" ht="15.75" customHeight="1">
      <c r="A86" s="1">
        <v>85.0</v>
      </c>
      <c r="B86" s="1" t="s">
        <v>256</v>
      </c>
      <c r="C86" s="1" t="s">
        <v>257</v>
      </c>
      <c r="D86" s="1">
        <v>543126.0</v>
      </c>
      <c r="E86" s="1">
        <v>130929.0</v>
      </c>
      <c r="F86" s="1" t="s">
        <v>258</v>
      </c>
      <c r="G86" s="1" t="str">
        <f>IFERROR(__xludf.DUMMYFUNCTION("GOOGLETRANSLATE(F86, ""de"", ""ru"")"),"Кирпичный готический старый город Штральзунда получил права города в 1234 году; Как ганзейский порт, он вместе с Висмаром является объектом Всемирного наследия ЮНЕСКО.")</f>
        <v>Кирпичный готический старый город Штральзунда получил права города в 1234 году; Как ганзейский порт, он вместе с Висмаром является объектом Всемирного наследия ЮНЕСКО.</v>
      </c>
    </row>
    <row r="87" ht="15.75" customHeight="1">
      <c r="A87" s="1">
        <v>86.0</v>
      </c>
      <c r="B87" s="1" t="s">
        <v>259</v>
      </c>
      <c r="C87" s="1" t="s">
        <v>260</v>
      </c>
      <c r="D87" s="1">
        <v>540924.0</v>
      </c>
      <c r="E87" s="1">
        <v>134022.0</v>
      </c>
      <c r="F87" s="1" t="s">
        <v>261</v>
      </c>
      <c r="G87" s="1" t="str">
        <f>IFERROR(__xludf.DUMMYFUNCTION("GOOGLETRANSLATE(F87, ""de"", ""ru"")"),"Собор Святого Николая (13 век) доминирует над силуэтом Грайфсвальда и олицетворяет северогерманскую кирпичную готику и ганзейское богатство.")</f>
        <v>Собор Святого Николая (13 век) доминирует над силуэтом Грайфсвальда и олицетворяет северогерманскую кирпичную готику и ганзейское богатство.</v>
      </c>
    </row>
    <row r="88" ht="15.75" customHeight="1">
      <c r="A88" s="1">
        <v>87.0</v>
      </c>
      <c r="B88" s="1" t="s">
        <v>262</v>
      </c>
      <c r="C88" s="1" t="s">
        <v>263</v>
      </c>
      <c r="D88" s="1">
        <v>545406.0</v>
      </c>
      <c r="E88" s="1">
        <v>135747.0</v>
      </c>
      <c r="F88" s="1" t="s">
        <v>264</v>
      </c>
      <c r="G88" s="1" t="str">
        <f>IFERROR(__xludf.DUMMYFUNCTION("GOOGLETRANSLATE(F88, ""de"", ""ru"")"),"Белые меловые скалы и древние буковые леса национального парка Ясмунд являются объектом Всемирного наследия ЮНЕСКО и источником вдохновения для художников-романтиков.")</f>
        <v>Белые меловые скалы и древние буковые леса национального парка Ясмунд являются объектом Всемирного наследия ЮНЕСКО и источником вдохновения для художников-романтиков.</v>
      </c>
    </row>
    <row r="89" ht="15.75" customHeight="1">
      <c r="A89" s="1">
        <v>88.0</v>
      </c>
      <c r="B89" s="1" t="s">
        <v>265</v>
      </c>
      <c r="C89" s="1" t="s">
        <v>266</v>
      </c>
      <c r="D89" s="1">
        <v>540536.0</v>
      </c>
      <c r="E89" s="1">
        <v>142743.0</v>
      </c>
      <c r="F89" s="1" t="s">
        <v>267</v>
      </c>
      <c r="G89" s="1" t="str">
        <f>IFERROR(__xludf.DUMMYFUNCTION("GOOGLETRANSLATE(F89, ""de"", ""ru"")"),"С 1900 года Альбек, Херингсдорф и Банзин привлекают берлинскую буржуазию к Балтийскому морю своими пристанями и курортной архитектурой.")</f>
        <v>С 1900 года Альбек, Херингсдорф и Банзин привлекают берлинскую буржуазию к Балтийскому морю своими пристанями и курортной архитектурой.</v>
      </c>
    </row>
    <row r="90" ht="15.75" customHeight="1">
      <c r="A90" s="1">
        <v>89.0</v>
      </c>
      <c r="B90" s="1" t="s">
        <v>268</v>
      </c>
      <c r="C90" s="1" t="s">
        <v>269</v>
      </c>
      <c r="D90" s="1">
        <v>538923.0</v>
      </c>
      <c r="E90" s="1">
        <v>114628.0</v>
      </c>
      <c r="F90" s="1" t="s">
        <v>270</v>
      </c>
      <c r="G90" s="1" t="str">
        <f>IFERROR(__xludf.DUMMYFUNCTION("GOOGLETRANSLATE(F90, ""de"", ""ru"")"),"Двухскатные дома, водное искусство и кирпичные церкви свидетельствуют о ганзейском прошлом Висмара и сделали старый город объектом всемирного культурного наследия.")</f>
        <v>Двухскатные дома, водное искусство и кирпичные церкви свидетельствуют о ганзейском прошлом Висмара и сделали старый город объектом всемирного культурного наследия.</v>
      </c>
    </row>
    <row r="91" ht="15.75" customHeight="1">
      <c r="A91" s="1">
        <v>90.0</v>
      </c>
      <c r="B91" s="1" t="s">
        <v>271</v>
      </c>
      <c r="C91" s="1" t="s">
        <v>271</v>
      </c>
      <c r="D91" s="1">
        <v>536294.0</v>
      </c>
      <c r="E91" s="1">
        <v>114154.0</v>
      </c>
      <c r="F91" s="1" t="s">
        <v>272</v>
      </c>
      <c r="G91" s="1" t="str">
        <f>IFERROR(__xludf.DUMMYFUNCTION("GOOGLETRANSLATE(F91, ""de"", ""ru"")"),"Романтический островной замок с башнями и золотым шпилем является резиденцией парламента земли Мекленбург-Передняя Померания и оформлен в сказочном стиле.")</f>
        <v>Романтический островной замок с башнями и золотым шпилем является резиденцией парламента земли Мекленбург-Передняя Померания и оформлен в сказочном стиле.</v>
      </c>
    </row>
    <row r="92" ht="15.75" customHeight="1">
      <c r="A92" s="1">
        <v>91.0</v>
      </c>
      <c r="B92" s="1" t="s">
        <v>273</v>
      </c>
      <c r="C92" s="1" t="s">
        <v>274</v>
      </c>
      <c r="D92" s="1">
        <v>538683.0</v>
      </c>
      <c r="E92" s="1">
        <v>106873.0</v>
      </c>
      <c r="F92" s="1" t="s">
        <v>275</v>
      </c>
      <c r="G92" s="1" t="str">
        <f>IFERROR(__xludf.DUMMYFUNCTION("GOOGLETRANSLATE(F92, ""de"", ""ru"")"),"Позднеготический Хольстентор (1464–1478 гг.) с башнями-близнецами является визитной карточкой Любека и напоминает о временах расцвета Ганзейского союза.")</f>
        <v>Позднеготический Хольстентор (1464–1478 гг.) с башнями-близнецами является визитной карточкой Любека и напоминает о временах расцвета Ганзейского союза.</v>
      </c>
    </row>
    <row r="93" ht="15.75" customHeight="1">
      <c r="A93" s="1">
        <v>92.0</v>
      </c>
      <c r="B93" s="1" t="s">
        <v>276</v>
      </c>
      <c r="C93" s="1" t="s">
        <v>277</v>
      </c>
      <c r="D93" s="1">
        <v>535496.0</v>
      </c>
      <c r="E93" s="1">
        <v>99882.0</v>
      </c>
      <c r="F93" s="1" t="s">
        <v>278</v>
      </c>
      <c r="G93" s="1" t="str">
        <f>IFERROR(__xludf.DUMMYFUNCTION("GOOGLETRANSLATE(F93, ""de"", ""ru"")"),"Барочный Мишель с башней высотой 132 м предлагает морякам ориентир, а жителям Гамбурга - достопримечательность, создающую их индивидуальность.")</f>
        <v>Барочный Мишель с башней высотой 132 м предлагает морякам ориентир, а жителям Гамбурга - достопримечательность, создающую их индивидуальность.</v>
      </c>
    </row>
    <row r="94" ht="15.75" customHeight="1">
      <c r="A94" s="1">
        <v>93.0</v>
      </c>
      <c r="B94" s="1" t="s">
        <v>279</v>
      </c>
      <c r="C94" s="1" t="s">
        <v>280</v>
      </c>
      <c r="D94" s="1">
        <v>535411.0</v>
      </c>
      <c r="E94" s="1">
        <v>99847.0</v>
      </c>
      <c r="F94" s="1" t="s">
        <v>281</v>
      </c>
      <c r="G94" s="1" t="str">
        <f>IFERROR(__xludf.DUMMYFUNCTION("GOOGLETRANSLATE(F94, ""de"", ""ru"")"),"Концертный зал, открывшийся в 2017 году, сочетает в себе современную конструкцию из стеклянных волн на историческом складе набережной и устанавливает акустические стандарты.")</f>
        <v>Концертный зал, открывшийся в 2017 году, сочетает в себе современную конструкцию из стеклянных волн на историческом складе набережной и устанавливает акустические стандарты.</v>
      </c>
    </row>
    <row r="95" ht="15.75" customHeight="1">
      <c r="A95" s="1">
        <v>94.0</v>
      </c>
      <c r="B95" s="1" t="s">
        <v>282</v>
      </c>
      <c r="C95" s="1" t="s">
        <v>283</v>
      </c>
      <c r="D95" s="1">
        <v>535462.0</v>
      </c>
      <c r="E95" s="1">
        <v>99667.0</v>
      </c>
      <c r="F95" s="1" t="s">
        <v>284</v>
      </c>
      <c r="G95" s="1" t="str">
        <f>IFERROR(__xludf.DUMMYFUNCTION("GOOGLETRANSLATE(F95, ""de"", ""ru"")"),"Крупнейший в Европе портовый фестиваль отмечает судоходство Гамбурга с 1189 года входящими и выходящими парадами всего, от парусников до круизных лайнеров.")</f>
        <v>Крупнейший в Европе портовый фестиваль отмечает судоходство Гамбурга с 1189 года входящими и выходящими парадами всего, от парусников до круизных лайнеров.</v>
      </c>
    </row>
    <row r="96" ht="15.75" customHeight="1">
      <c r="A96" s="1">
        <v>95.0</v>
      </c>
      <c r="B96" s="1" t="s">
        <v>285</v>
      </c>
      <c r="C96" s="1" t="s">
        <v>286</v>
      </c>
      <c r="D96" s="1">
        <v>535503.0</v>
      </c>
      <c r="E96" s="1">
        <v>99668.0</v>
      </c>
      <c r="F96" s="1" t="s">
        <v>287</v>
      </c>
      <c r="G96" s="1" t="str">
        <f>IFERROR(__xludf.DUMMYFUNCTION("GOOGLETRANSLATE(F96, ""de"", ""ru"")"),"Репербан в Санкт-Паули — всемирно известный район развлечений и красных фонарей, где в 1960-х годах состоялся прорыв группы ""Битлз"".")</f>
        <v>Репербан в Санкт-Паули — всемирно известный район развлечений и красных фонарей, где в 1960-х годах состоялся прорыв группы "Битлз".</v>
      </c>
    </row>
    <row r="97" ht="15.75" customHeight="1">
      <c r="A97" s="1">
        <v>96.0</v>
      </c>
      <c r="B97" s="1" t="s">
        <v>288</v>
      </c>
      <c r="C97" s="1" t="s">
        <v>289</v>
      </c>
      <c r="D97" s="1">
        <v>543215.0</v>
      </c>
      <c r="E97" s="1">
        <v>10131.0</v>
      </c>
      <c r="F97" s="1" t="s">
        <v>290</v>
      </c>
      <c r="G97" s="1" t="str">
        <f>IFERROR(__xludf.DUMMYFUNCTION("GOOGLETRANSLATE(F97, ""de"", ""ru"")"),"THW Kiel, многократный победитель Германии и Лиги чемпионов, обеспечивает гандбольную атмосферу мирового класса на Wunderino Arena.")</f>
        <v>THW Kiel, многократный победитель Германии и Лиги чемпионов, обеспечивает гандбольную атмосферу мирового класса на Wunderino Arena.</v>
      </c>
    </row>
    <row r="98" ht="15.75" customHeight="1">
      <c r="A98" s="1">
        <v>97.0</v>
      </c>
      <c r="B98" s="1" t="s">
        <v>291</v>
      </c>
      <c r="C98" s="1" t="s">
        <v>292</v>
      </c>
      <c r="D98" s="1">
        <v>543233.0</v>
      </c>
      <c r="E98" s="1">
        <v>10139.0</v>
      </c>
      <c r="F98" s="1" t="s">
        <v>293</v>
      </c>
      <c r="G98" s="1" t="str">
        <f>IFERROR(__xludf.DUMMYFUNCTION("GOOGLETRANSLATE(F98, ""de"", ""ru"")"),"С 1882 года Кильская неделя является крупнейшим парусным мероприятием в мире; Регаты и морской фестиваль оживляют фьорд на неделю.")</f>
        <v>С 1882 года Кильская неделя является крупнейшим парусным мероприятием в мире; Регаты и морской фестиваль оживляют фьорд на неделю.</v>
      </c>
    </row>
    <row r="99" ht="15.75" customHeight="1">
      <c r="A99" s="1">
        <v>98.0</v>
      </c>
      <c r="B99" s="1" t="s">
        <v>294</v>
      </c>
      <c r="C99" s="1" t="s">
        <v>295</v>
      </c>
      <c r="D99" s="1">
        <v>543433.0</v>
      </c>
      <c r="E99" s="1">
        <v>101247.0</v>
      </c>
      <c r="F99" s="1" t="s">
        <v>296</v>
      </c>
      <c r="G99" s="1" t="str">
        <f>IFERROR(__xludf.DUMMYFUNCTION("GOOGLETRANSLATE(F99, ""de"", ""ru"")"),"Физик Макс Планк (1858–1947), родившийся в Киле, основал современную физику своей квантовой теорией.")</f>
        <v>Физик Макс Планк (1858–1947), родившийся в Киле, основал современную физику своей квантовой теорией.</v>
      </c>
    </row>
    <row r="100" ht="15.75" customHeight="1">
      <c r="A100" s="1">
        <v>99.0</v>
      </c>
      <c r="B100" s="1" t="s">
        <v>297</v>
      </c>
      <c r="C100" s="1" t="s">
        <v>298</v>
      </c>
      <c r="D100" s="1">
        <v>549063.0</v>
      </c>
      <c r="E100" s="1">
        <v>83028.0</v>
      </c>
      <c r="F100" s="1" t="s">
        <v>299</v>
      </c>
      <c r="G100" s="1" t="str">
        <f>IFERROR(__xludf.DUMMYFUNCTION("GOOGLETRANSLATE(F100, ""de"", ""ru"")"),"Зюльт сочетает в себе спа-традицию, бесконечные песчаные пляжи и талант знаменитостей; Шезлонги и деревни с соломенными крышами характеризуют самый известный остров Германии в Северном море.")</f>
        <v>Зюльт сочетает в себе спа-традицию, бесконечные песчаные пляжи и талант знаменитостей; Шезлонги и деревни с соломенными крышами характеризуют самый известный остров Германии в Северном море.</v>
      </c>
    </row>
    <row r="101" ht="15.75" customHeight="1">
      <c r="A101" s="1">
        <v>100.0</v>
      </c>
      <c r="B101" s="1" t="s">
        <v>300</v>
      </c>
      <c r="C101" s="1" t="s">
        <v>301</v>
      </c>
      <c r="D101" s="1">
        <v>521317.0</v>
      </c>
      <c r="E101" s="1">
        <v>116394.0</v>
      </c>
      <c r="F101" s="1" t="s">
        <v>302</v>
      </c>
      <c r="G101" s="1" t="str">
        <f>IFERROR(__xludf.DUMMYFUNCTION("GOOGLETRANSLATE(F101, ""de"", ""ru"")"),"Художественный музей в монастыре Богоматери сочетает романскую архитектуру с международным современным искусством — символ современного Магдебурга.")</f>
        <v>Художественный музей в монастыре Богоматери сочетает романскую архитектуру с международным современным искусством — символ современного Магдебурга.</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27.43"/>
    <col customWidth="1" min="3" max="3" width="38.0"/>
    <col customWidth="1" min="4" max="4" width="10.57"/>
    <col customWidth="1" min="5" max="5" width="12.14"/>
    <col customWidth="1" min="6" max="6" width="81.14"/>
    <col customWidth="1" min="7" max="26" width="10.71"/>
  </cols>
  <sheetData>
    <row r="1">
      <c r="A1" s="1" t="s">
        <v>0</v>
      </c>
      <c r="B1" s="1" t="s">
        <v>1</v>
      </c>
      <c r="C1" s="1" t="s">
        <v>2</v>
      </c>
      <c r="D1" s="1" t="s">
        <v>3</v>
      </c>
      <c r="E1" s="1" t="s">
        <v>4</v>
      </c>
      <c r="F1" s="1" t="s">
        <v>303</v>
      </c>
    </row>
    <row r="2">
      <c r="A2" s="1">
        <v>1.0</v>
      </c>
      <c r="B2" s="1" t="s">
        <v>6</v>
      </c>
      <c r="C2" s="1" t="s">
        <v>304</v>
      </c>
      <c r="D2" s="1">
        <v>501096.0</v>
      </c>
      <c r="E2" s="1">
        <v>86724.0</v>
      </c>
      <c r="F2" s="1" t="s">
        <v>305</v>
      </c>
    </row>
    <row r="3">
      <c r="A3" s="1">
        <v>2.0</v>
      </c>
      <c r="B3" s="1" t="s">
        <v>9</v>
      </c>
      <c r="C3" s="1" t="s">
        <v>306</v>
      </c>
      <c r="D3" s="1">
        <v>501106.0</v>
      </c>
      <c r="E3" s="1">
        <v>86821.0</v>
      </c>
      <c r="F3" s="1" t="s">
        <v>307</v>
      </c>
    </row>
    <row r="4">
      <c r="A4" s="1">
        <v>3.0</v>
      </c>
      <c r="B4" s="1" t="s">
        <v>12</v>
      </c>
      <c r="C4" s="1" t="s">
        <v>308</v>
      </c>
      <c r="D4" s="1">
        <v>500826.0</v>
      </c>
      <c r="E4" s="1">
        <v>82435.0</v>
      </c>
      <c r="F4" s="1" t="s">
        <v>309</v>
      </c>
    </row>
    <row r="5">
      <c r="A5" s="1">
        <v>4.0</v>
      </c>
      <c r="B5" s="1" t="s">
        <v>15</v>
      </c>
      <c r="C5" s="1" t="s">
        <v>310</v>
      </c>
      <c r="D5" s="1">
        <v>499983.0</v>
      </c>
      <c r="E5" s="1">
        <v>82711.0</v>
      </c>
      <c r="F5" s="1" t="s">
        <v>311</v>
      </c>
    </row>
    <row r="6">
      <c r="A6" s="1">
        <v>5.0</v>
      </c>
      <c r="B6" s="1" t="s">
        <v>18</v>
      </c>
      <c r="C6" s="1" t="s">
        <v>312</v>
      </c>
      <c r="D6" s="1">
        <v>499992.0</v>
      </c>
      <c r="E6" s="1">
        <v>79433.0</v>
      </c>
      <c r="F6" s="1" t="s">
        <v>313</v>
      </c>
    </row>
    <row r="7">
      <c r="A7" s="1">
        <v>6.0</v>
      </c>
      <c r="B7" s="1" t="s">
        <v>21</v>
      </c>
      <c r="C7" s="1" t="s">
        <v>314</v>
      </c>
      <c r="D7" s="1">
        <v>49804.0</v>
      </c>
      <c r="E7" s="1">
        <v>7967.0</v>
      </c>
      <c r="F7" s="1" t="s">
        <v>315</v>
      </c>
    </row>
    <row r="8">
      <c r="A8" s="1">
        <v>7.0</v>
      </c>
      <c r="B8" s="1" t="s">
        <v>24</v>
      </c>
      <c r="C8" s="1" t="s">
        <v>316</v>
      </c>
      <c r="D8" s="1">
        <v>501389.0</v>
      </c>
      <c r="E8" s="1">
        <v>77089.0</v>
      </c>
      <c r="F8" s="1" t="s">
        <v>26</v>
      </c>
    </row>
    <row r="9">
      <c r="A9" s="1">
        <v>8.0</v>
      </c>
      <c r="B9" s="1" t="s">
        <v>27</v>
      </c>
      <c r="C9" s="1" t="s">
        <v>317</v>
      </c>
      <c r="D9" s="1">
        <v>501172.0</v>
      </c>
      <c r="E9" s="1">
        <v>76071.0</v>
      </c>
      <c r="F9" s="1" t="s">
        <v>318</v>
      </c>
    </row>
    <row r="10">
      <c r="A10" s="1">
        <v>9.0</v>
      </c>
      <c r="B10" s="1" t="s">
        <v>30</v>
      </c>
      <c r="C10" s="1" t="s">
        <v>319</v>
      </c>
      <c r="D10" s="1">
        <v>503569.0</v>
      </c>
      <c r="E10" s="1">
        <v>75881.0</v>
      </c>
      <c r="F10" s="1" t="s">
        <v>320</v>
      </c>
    </row>
    <row r="11">
      <c r="A11" s="1">
        <v>10.0</v>
      </c>
      <c r="B11" s="1" t="s">
        <v>33</v>
      </c>
      <c r="C11" s="1" t="s">
        <v>321</v>
      </c>
      <c r="D11" s="1">
        <v>503341.0</v>
      </c>
      <c r="E11" s="1">
        <v>69476.0</v>
      </c>
      <c r="F11" s="1" t="s">
        <v>322</v>
      </c>
    </row>
    <row r="12">
      <c r="A12" s="1">
        <v>11.0</v>
      </c>
      <c r="B12" s="1" t="s">
        <v>36</v>
      </c>
      <c r="C12" s="1" t="s">
        <v>323</v>
      </c>
      <c r="D12" s="1">
        <v>507368.0</v>
      </c>
      <c r="E12" s="1">
        <v>7101.0</v>
      </c>
      <c r="F12" s="1" t="s">
        <v>324</v>
      </c>
    </row>
    <row r="13">
      <c r="A13" s="1">
        <v>12.0</v>
      </c>
      <c r="B13" s="1" t="s">
        <v>325</v>
      </c>
      <c r="C13" s="1" t="s">
        <v>326</v>
      </c>
      <c r="D13" s="1">
        <v>509403.0</v>
      </c>
      <c r="E13" s="1">
        <v>6957.0</v>
      </c>
      <c r="F13" s="1" t="s">
        <v>327</v>
      </c>
    </row>
    <row r="14">
      <c r="A14" s="1">
        <v>13.0</v>
      </c>
      <c r="B14" s="1" t="s">
        <v>42</v>
      </c>
      <c r="C14" s="1" t="s">
        <v>328</v>
      </c>
      <c r="D14" s="1">
        <v>509413.0</v>
      </c>
      <c r="E14" s="1">
        <v>69583.0</v>
      </c>
      <c r="F14" s="1" t="s">
        <v>329</v>
      </c>
    </row>
    <row r="15">
      <c r="A15" s="1">
        <v>14.0</v>
      </c>
      <c r="B15" s="1" t="s">
        <v>45</v>
      </c>
      <c r="C15" s="1" t="s">
        <v>330</v>
      </c>
      <c r="D15" s="1">
        <v>512275.0</v>
      </c>
      <c r="E15" s="1">
        <v>6937.0</v>
      </c>
      <c r="F15" s="1" t="s">
        <v>331</v>
      </c>
    </row>
    <row r="16">
      <c r="A16" s="1">
        <v>15.0</v>
      </c>
      <c r="B16" s="1" t="s">
        <v>48</v>
      </c>
      <c r="C16" s="1" t="s">
        <v>332</v>
      </c>
      <c r="D16" s="1">
        <v>512277.0</v>
      </c>
      <c r="E16" s="1">
        <v>67735.0</v>
      </c>
      <c r="F16" s="1" t="s">
        <v>333</v>
      </c>
    </row>
    <row r="17">
      <c r="A17" s="1">
        <v>16.0</v>
      </c>
      <c r="B17" s="1" t="s">
        <v>51</v>
      </c>
      <c r="C17" s="1" t="s">
        <v>334</v>
      </c>
      <c r="D17" s="1">
        <v>514344.0</v>
      </c>
      <c r="E17" s="1">
        <v>67573.0</v>
      </c>
      <c r="F17" s="1" t="s">
        <v>335</v>
      </c>
    </row>
    <row r="18">
      <c r="A18" s="1">
        <v>17.0</v>
      </c>
      <c r="B18" s="1" t="s">
        <v>54</v>
      </c>
      <c r="C18" s="1" t="s">
        <v>336</v>
      </c>
      <c r="D18" s="1">
        <v>514839.0</v>
      </c>
      <c r="E18" s="1">
        <v>70226.0</v>
      </c>
      <c r="F18" s="1" t="s">
        <v>56</v>
      </c>
    </row>
    <row r="19">
      <c r="A19" s="1">
        <v>18.0</v>
      </c>
      <c r="B19" s="1" t="s">
        <v>57</v>
      </c>
      <c r="C19" s="1" t="s">
        <v>337</v>
      </c>
      <c r="D19" s="1">
        <v>5149.0</v>
      </c>
      <c r="E19" s="1">
        <v>70375.0</v>
      </c>
      <c r="F19" s="1" t="s">
        <v>338</v>
      </c>
    </row>
    <row r="20">
      <c r="A20" s="1">
        <v>19.0</v>
      </c>
      <c r="B20" s="1" t="s">
        <v>339</v>
      </c>
      <c r="C20" s="1" t="s">
        <v>340</v>
      </c>
      <c r="D20" s="1">
        <v>514925.0</v>
      </c>
      <c r="E20" s="1">
        <v>74517.0</v>
      </c>
      <c r="F20" s="1" t="s">
        <v>341</v>
      </c>
    </row>
    <row r="21" ht="15.75" customHeight="1">
      <c r="A21" s="1">
        <v>20.0</v>
      </c>
      <c r="B21" s="1" t="s">
        <v>342</v>
      </c>
      <c r="C21" s="1" t="s">
        <v>343</v>
      </c>
      <c r="D21" s="1">
        <v>519628.0</v>
      </c>
      <c r="E21" s="1">
        <v>76254.0</v>
      </c>
      <c r="F21" s="1" t="s">
        <v>344</v>
      </c>
    </row>
    <row r="22" ht="15.75" customHeight="1">
      <c r="A22" s="1">
        <v>21.0</v>
      </c>
      <c r="B22" s="1" t="s">
        <v>66</v>
      </c>
      <c r="C22" s="1" t="s">
        <v>345</v>
      </c>
      <c r="D22" s="1">
        <v>520302.0</v>
      </c>
      <c r="E22" s="1">
        <v>85325.0</v>
      </c>
      <c r="F22" s="1" t="s">
        <v>346</v>
      </c>
    </row>
    <row r="23" ht="15.75" customHeight="1">
      <c r="A23" s="1">
        <v>22.0</v>
      </c>
      <c r="B23" s="1" t="s">
        <v>69</v>
      </c>
      <c r="C23" s="1" t="s">
        <v>347</v>
      </c>
      <c r="D23" s="1">
        <v>523759.0</v>
      </c>
      <c r="E23" s="1">
        <v>9732.0</v>
      </c>
      <c r="F23" s="1" t="s">
        <v>348</v>
      </c>
    </row>
    <row r="24" ht="15.75" customHeight="1">
      <c r="A24" s="1">
        <v>23.0</v>
      </c>
      <c r="B24" s="1" t="s">
        <v>72</v>
      </c>
      <c r="C24" s="1" t="s">
        <v>349</v>
      </c>
      <c r="D24" s="1">
        <v>523759.0</v>
      </c>
      <c r="E24" s="1">
        <v>9732.0</v>
      </c>
      <c r="F24" s="1" t="s">
        <v>350</v>
      </c>
    </row>
    <row r="25" ht="15.75" customHeight="1">
      <c r="A25" s="1">
        <v>24.0</v>
      </c>
      <c r="B25" s="1" t="s">
        <v>75</v>
      </c>
      <c r="C25" s="1" t="s">
        <v>351</v>
      </c>
      <c r="D25" s="1">
        <v>523728.0</v>
      </c>
      <c r="E25" s="1">
        <v>97441.0</v>
      </c>
      <c r="F25" s="1" t="s">
        <v>77</v>
      </c>
    </row>
    <row r="26" ht="15.75" customHeight="1">
      <c r="A26" s="1">
        <v>25.0</v>
      </c>
      <c r="B26" s="1" t="s">
        <v>78</v>
      </c>
      <c r="C26" s="1" t="s">
        <v>352</v>
      </c>
      <c r="D26" s="1">
        <v>523909.0</v>
      </c>
      <c r="E26" s="1">
        <v>97335.0</v>
      </c>
      <c r="F26" s="1" t="s">
        <v>353</v>
      </c>
    </row>
    <row r="27" ht="15.75" customHeight="1">
      <c r="A27" s="1">
        <v>26.0</v>
      </c>
      <c r="B27" s="1" t="s">
        <v>354</v>
      </c>
      <c r="C27" s="1" t="s">
        <v>354</v>
      </c>
      <c r="D27" s="1">
        <v>522689.0</v>
      </c>
      <c r="E27" s="1">
        <v>105268.0</v>
      </c>
      <c r="F27" s="1" t="s">
        <v>355</v>
      </c>
    </row>
    <row r="28" ht="15.75" customHeight="1">
      <c r="A28" s="1">
        <v>27.0</v>
      </c>
      <c r="B28" s="1" t="s">
        <v>83</v>
      </c>
      <c r="C28" s="1" t="s">
        <v>356</v>
      </c>
      <c r="D28" s="1">
        <v>524224.0</v>
      </c>
      <c r="E28" s="1">
        <v>107864.0</v>
      </c>
      <c r="F28" s="1" t="s">
        <v>357</v>
      </c>
    </row>
    <row r="29" ht="15.75" customHeight="1">
      <c r="A29" s="1">
        <v>28.0</v>
      </c>
      <c r="B29" s="1" t="s">
        <v>358</v>
      </c>
      <c r="C29" s="1" t="s">
        <v>359</v>
      </c>
      <c r="D29" s="1">
        <v>524225.0</v>
      </c>
      <c r="E29" s="1">
        <v>107864.0</v>
      </c>
      <c r="F29" s="1" t="s">
        <v>360</v>
      </c>
    </row>
    <row r="30" ht="15.75" customHeight="1">
      <c r="A30" s="1">
        <v>29.0</v>
      </c>
      <c r="B30" s="1" t="s">
        <v>89</v>
      </c>
      <c r="C30" s="1" t="s">
        <v>361</v>
      </c>
      <c r="D30" s="1">
        <v>519045.0</v>
      </c>
      <c r="E30" s="1">
        <v>104297.0</v>
      </c>
      <c r="F30" s="1" t="s">
        <v>91</v>
      </c>
    </row>
    <row r="31" ht="15.75" customHeight="1">
      <c r="A31" s="1">
        <v>30.0</v>
      </c>
      <c r="B31" s="1" t="s">
        <v>362</v>
      </c>
      <c r="C31" s="1" t="s">
        <v>363</v>
      </c>
      <c r="D31" s="1">
        <v>515403.0</v>
      </c>
      <c r="E31" s="1">
        <v>99357.0</v>
      </c>
      <c r="F31" s="1" t="s">
        <v>364</v>
      </c>
    </row>
    <row r="32" ht="15.75" customHeight="1">
      <c r="A32" s="1">
        <v>31.0</v>
      </c>
      <c r="B32" s="1" t="s">
        <v>365</v>
      </c>
      <c r="C32" s="1" t="s">
        <v>366</v>
      </c>
      <c r="D32" s="1">
        <v>513155.0</v>
      </c>
      <c r="E32" s="1">
        <v>94962.0</v>
      </c>
      <c r="F32" s="1" t="s">
        <v>367</v>
      </c>
    </row>
    <row r="33" ht="15.75" customHeight="1">
      <c r="A33" s="1">
        <v>32.0</v>
      </c>
      <c r="B33" s="1" t="s">
        <v>98</v>
      </c>
      <c r="C33" s="1" t="s">
        <v>368</v>
      </c>
      <c r="D33" s="1">
        <v>513118.0</v>
      </c>
      <c r="E33" s="1">
        <v>9497.0</v>
      </c>
      <c r="F33" s="1" t="s">
        <v>369</v>
      </c>
    </row>
    <row r="34" ht="15.75" customHeight="1">
      <c r="A34" s="1">
        <v>33.0</v>
      </c>
      <c r="B34" s="1" t="s">
        <v>101</v>
      </c>
      <c r="C34" s="1" t="s">
        <v>370</v>
      </c>
      <c r="D34" s="1">
        <v>513116.0</v>
      </c>
      <c r="E34" s="1">
        <v>94797.0</v>
      </c>
      <c r="F34" s="1" t="s">
        <v>371</v>
      </c>
    </row>
    <row r="35" ht="15.75" customHeight="1">
      <c r="A35" s="1">
        <v>34.0</v>
      </c>
      <c r="B35" s="1" t="s">
        <v>104</v>
      </c>
      <c r="C35" s="1" t="s">
        <v>372</v>
      </c>
      <c r="D35" s="1">
        <v>509711.0</v>
      </c>
      <c r="E35" s="1">
        <v>103277.0</v>
      </c>
      <c r="F35" s="1" t="s">
        <v>373</v>
      </c>
    </row>
    <row r="36" ht="15.75" customHeight="1">
      <c r="A36" s="1">
        <v>35.0</v>
      </c>
      <c r="B36" s="1" t="s">
        <v>107</v>
      </c>
      <c r="C36" s="1" t="s">
        <v>374</v>
      </c>
      <c r="D36" s="1">
        <v>509848.0</v>
      </c>
      <c r="E36" s="1">
        <v>110299.0</v>
      </c>
      <c r="F36" s="1" t="s">
        <v>375</v>
      </c>
    </row>
    <row r="37" ht="15.75" customHeight="1">
      <c r="A37" s="1">
        <v>36.0</v>
      </c>
      <c r="B37" s="1" t="s">
        <v>110</v>
      </c>
      <c r="C37" s="1" t="s">
        <v>376</v>
      </c>
      <c r="D37" s="1">
        <v>509795.0</v>
      </c>
      <c r="E37" s="1">
        <v>11329.0</v>
      </c>
      <c r="F37" s="1" t="s">
        <v>377</v>
      </c>
    </row>
    <row r="38" ht="15.75" customHeight="1">
      <c r="A38" s="1">
        <v>37.0</v>
      </c>
      <c r="B38" s="1" t="s">
        <v>113</v>
      </c>
      <c r="C38" s="1" t="s">
        <v>378</v>
      </c>
      <c r="D38" s="1">
        <v>509793.0</v>
      </c>
      <c r="E38" s="1">
        <v>113292.0</v>
      </c>
      <c r="F38" s="1" t="s">
        <v>379</v>
      </c>
    </row>
    <row r="39" ht="15.75" customHeight="1">
      <c r="A39" s="1">
        <v>38.0</v>
      </c>
      <c r="B39" s="1" t="s">
        <v>116</v>
      </c>
      <c r="C39" s="1" t="s">
        <v>380</v>
      </c>
      <c r="D39" s="1">
        <v>505451.0</v>
      </c>
      <c r="E39" s="1">
        <v>112147.0</v>
      </c>
      <c r="F39" s="1" t="s">
        <v>381</v>
      </c>
    </row>
    <row r="40" ht="15.75" customHeight="1">
      <c r="A40" s="1">
        <v>39.0</v>
      </c>
      <c r="B40" s="1" t="s">
        <v>119</v>
      </c>
      <c r="C40" s="1" t="s">
        <v>382</v>
      </c>
      <c r="D40" s="1">
        <v>505477.0</v>
      </c>
      <c r="E40" s="1">
        <v>111681.0</v>
      </c>
      <c r="F40" s="1" t="s">
        <v>383</v>
      </c>
    </row>
    <row r="41" ht="15.75" customHeight="1">
      <c r="A41" s="1">
        <v>40.0</v>
      </c>
      <c r="B41" s="1" t="s">
        <v>122</v>
      </c>
      <c r="C41" s="1" t="s">
        <v>384</v>
      </c>
      <c r="D41" s="1">
        <v>502599.0</v>
      </c>
      <c r="E41" s="1">
        <v>109644.0</v>
      </c>
      <c r="F41" s="1" t="s">
        <v>385</v>
      </c>
    </row>
    <row r="42" ht="15.75" customHeight="1">
      <c r="A42" s="1">
        <v>41.0</v>
      </c>
      <c r="B42" s="1" t="s">
        <v>125</v>
      </c>
      <c r="C42" s="1" t="s">
        <v>386</v>
      </c>
      <c r="D42" s="1">
        <v>501011.0</v>
      </c>
      <c r="E42" s="1">
        <v>11438.0</v>
      </c>
      <c r="F42" s="1" t="s">
        <v>387</v>
      </c>
    </row>
    <row r="43" ht="15.75" customHeight="1">
      <c r="A43" s="1">
        <v>42.0</v>
      </c>
      <c r="B43" s="1" t="s">
        <v>128</v>
      </c>
      <c r="C43" s="1" t="s">
        <v>388</v>
      </c>
      <c r="D43" s="1">
        <v>501011.0</v>
      </c>
      <c r="E43" s="1">
        <v>11438.0</v>
      </c>
      <c r="F43" s="1" t="s">
        <v>389</v>
      </c>
    </row>
    <row r="44" ht="15.75" customHeight="1">
      <c r="A44" s="1">
        <v>43.0</v>
      </c>
      <c r="B44" s="1" t="s">
        <v>131</v>
      </c>
      <c r="C44" s="1" t="s">
        <v>390</v>
      </c>
      <c r="D44" s="1">
        <v>499487.0</v>
      </c>
      <c r="E44" s="1">
        <v>11576.0</v>
      </c>
      <c r="F44" s="1" t="s">
        <v>391</v>
      </c>
    </row>
    <row r="45" ht="15.75" customHeight="1">
      <c r="A45" s="1">
        <v>44.0</v>
      </c>
      <c r="B45" s="1" t="s">
        <v>134</v>
      </c>
      <c r="C45" s="1" t="s">
        <v>392</v>
      </c>
      <c r="D45" s="1">
        <v>499451.0</v>
      </c>
      <c r="E45" s="1">
        <v>115908.0</v>
      </c>
      <c r="F45" s="1" t="s">
        <v>393</v>
      </c>
    </row>
    <row r="46" ht="15.75" customHeight="1">
      <c r="A46" s="1">
        <v>45.0</v>
      </c>
      <c r="B46" s="1" t="s">
        <v>394</v>
      </c>
      <c r="C46" s="1" t="s">
        <v>395</v>
      </c>
      <c r="D46" s="1">
        <v>497631.0</v>
      </c>
      <c r="E46" s="1">
        <v>114062.0</v>
      </c>
      <c r="F46" s="1" t="s">
        <v>396</v>
      </c>
    </row>
    <row r="47" ht="15.75" customHeight="1">
      <c r="A47" s="1">
        <v>46.0</v>
      </c>
      <c r="B47" s="1" t="s">
        <v>140</v>
      </c>
      <c r="C47" s="1" t="s">
        <v>397</v>
      </c>
      <c r="D47" s="1">
        <v>498917.0</v>
      </c>
      <c r="E47" s="1">
        <v>108852.0</v>
      </c>
      <c r="F47" s="1" t="s">
        <v>398</v>
      </c>
    </row>
    <row r="48" ht="15.75" customHeight="1">
      <c r="A48" s="1">
        <v>47.0</v>
      </c>
      <c r="B48" s="1" t="s">
        <v>143</v>
      </c>
      <c r="C48" s="1" t="s">
        <v>399</v>
      </c>
      <c r="D48" s="1">
        <v>494542.0</v>
      </c>
      <c r="E48" s="1">
        <v>110773.0</v>
      </c>
      <c r="F48" s="1" t="s">
        <v>400</v>
      </c>
    </row>
    <row r="49" ht="15.75" customHeight="1">
      <c r="A49" s="1">
        <v>48.0</v>
      </c>
      <c r="B49" s="1" t="s">
        <v>146</v>
      </c>
      <c r="C49" s="1" t="s">
        <v>401</v>
      </c>
      <c r="D49" s="1">
        <v>494528.0</v>
      </c>
      <c r="E49" s="1">
        <v>11078.0</v>
      </c>
      <c r="F49" s="1" t="s">
        <v>402</v>
      </c>
    </row>
    <row r="50" ht="15.75" customHeight="1">
      <c r="A50" s="1">
        <v>49.0</v>
      </c>
      <c r="B50" s="1" t="s">
        <v>149</v>
      </c>
      <c r="C50" s="1" t="s">
        <v>403</v>
      </c>
      <c r="D50" s="1">
        <v>48765.0</v>
      </c>
      <c r="E50" s="1">
        <v>114257.0</v>
      </c>
      <c r="F50" s="1" t="s">
        <v>404</v>
      </c>
    </row>
    <row r="51" ht="15.75" customHeight="1">
      <c r="A51" s="1">
        <v>50.0</v>
      </c>
      <c r="B51" s="1" t="s">
        <v>405</v>
      </c>
      <c r="C51" s="1" t="s">
        <v>406</v>
      </c>
      <c r="D51" s="1">
        <v>482188.0</v>
      </c>
      <c r="E51" s="1">
        <v>116247.0</v>
      </c>
      <c r="F51" s="1" t="s">
        <v>407</v>
      </c>
    </row>
    <row r="52" ht="15.75" customHeight="1">
      <c r="A52" s="1">
        <v>51.0</v>
      </c>
      <c r="B52" s="1" t="s">
        <v>155</v>
      </c>
      <c r="C52" s="1" t="s">
        <v>408</v>
      </c>
      <c r="D52" s="1">
        <v>48174.0</v>
      </c>
      <c r="E52" s="1">
        <v>11546.0</v>
      </c>
      <c r="F52" s="1" t="s">
        <v>409</v>
      </c>
    </row>
    <row r="53" ht="15.75" customHeight="1">
      <c r="A53" s="1">
        <v>52.0</v>
      </c>
      <c r="B53" s="1" t="s">
        <v>158</v>
      </c>
      <c r="C53" s="1" t="s">
        <v>410</v>
      </c>
      <c r="D53" s="1">
        <v>4815.0</v>
      </c>
      <c r="E53" s="1">
        <v>1158.0</v>
      </c>
      <c r="F53" s="1" t="s">
        <v>411</v>
      </c>
    </row>
    <row r="54" ht="15.75" customHeight="1">
      <c r="A54" s="1">
        <v>53.0</v>
      </c>
      <c r="B54" s="1" t="s">
        <v>161</v>
      </c>
      <c r="C54" s="1" t="s">
        <v>412</v>
      </c>
      <c r="D54" s="1">
        <v>481312.0</v>
      </c>
      <c r="E54" s="1">
        <v>115497.0</v>
      </c>
      <c r="F54" s="1" t="s">
        <v>413</v>
      </c>
    </row>
    <row r="55" ht="15.75" customHeight="1">
      <c r="A55" s="1">
        <v>54.0</v>
      </c>
      <c r="B55" s="1" t="s">
        <v>164</v>
      </c>
      <c r="C55" s="1" t="s">
        <v>414</v>
      </c>
      <c r="D55" s="1">
        <v>475576.0</v>
      </c>
      <c r="E55" s="1">
        <v>107498.0</v>
      </c>
      <c r="F55" s="1" t="s">
        <v>415</v>
      </c>
    </row>
    <row r="56" ht="15.75" customHeight="1">
      <c r="A56" s="1">
        <v>55.0</v>
      </c>
      <c r="B56" s="1" t="s">
        <v>167</v>
      </c>
      <c r="C56" s="1" t="s">
        <v>416</v>
      </c>
      <c r="D56" s="1">
        <v>476514.0</v>
      </c>
      <c r="E56" s="1">
        <v>9478.0</v>
      </c>
      <c r="F56" s="1" t="s">
        <v>417</v>
      </c>
    </row>
    <row r="57" ht="15.75" customHeight="1">
      <c r="A57" s="1">
        <v>56.0</v>
      </c>
      <c r="B57" s="1" t="s">
        <v>170</v>
      </c>
      <c r="C57" s="1" t="s">
        <v>418</v>
      </c>
      <c r="D57" s="1">
        <v>484011.0</v>
      </c>
      <c r="E57" s="1">
        <v>99876.0</v>
      </c>
      <c r="F57" s="1" t="s">
        <v>419</v>
      </c>
    </row>
    <row r="58" ht="15.75" customHeight="1">
      <c r="A58" s="1">
        <v>57.0</v>
      </c>
      <c r="B58" s="1" t="s">
        <v>173</v>
      </c>
      <c r="C58" s="1" t="s">
        <v>420</v>
      </c>
      <c r="D58" s="1">
        <v>487904.0</v>
      </c>
      <c r="E58" s="1">
        <v>92183.0</v>
      </c>
      <c r="F58" s="1" t="s">
        <v>421</v>
      </c>
    </row>
    <row r="59" ht="15.75" customHeight="1">
      <c r="A59" s="1">
        <v>58.0</v>
      </c>
      <c r="B59" s="1" t="s">
        <v>422</v>
      </c>
      <c r="C59" s="1" t="s">
        <v>422</v>
      </c>
      <c r="D59" s="1">
        <v>494106.0</v>
      </c>
      <c r="E59" s="1">
        <v>87151.0</v>
      </c>
      <c r="F59" s="1" t="s">
        <v>423</v>
      </c>
    </row>
    <row r="60" ht="15.75" customHeight="1">
      <c r="A60" s="1">
        <v>59.0</v>
      </c>
      <c r="B60" s="1" t="s">
        <v>178</v>
      </c>
      <c r="C60" s="1" t="s">
        <v>424</v>
      </c>
      <c r="D60" s="1">
        <v>494875.0</v>
      </c>
      <c r="E60" s="1">
        <v>8466.0</v>
      </c>
      <c r="F60" s="1" t="s">
        <v>425</v>
      </c>
    </row>
    <row r="61" ht="15.75" customHeight="1">
      <c r="A61" s="1">
        <v>60.0</v>
      </c>
      <c r="B61" s="1" t="s">
        <v>181</v>
      </c>
      <c r="C61" s="1" t="s">
        <v>426</v>
      </c>
      <c r="D61" s="1">
        <v>497913.0</v>
      </c>
      <c r="E61" s="1">
        <v>99534.0</v>
      </c>
      <c r="F61" s="1" t="s">
        <v>427</v>
      </c>
    </row>
    <row r="62" ht="15.75" customHeight="1">
      <c r="A62" s="1">
        <v>61.0</v>
      </c>
      <c r="B62" s="1" t="s">
        <v>428</v>
      </c>
      <c r="C62" s="1" t="s">
        <v>429</v>
      </c>
      <c r="D62" s="1">
        <v>481275.0</v>
      </c>
      <c r="E62" s="1">
        <v>82364.0</v>
      </c>
      <c r="F62" s="1" t="s">
        <v>430</v>
      </c>
    </row>
    <row r="63" ht="15.75" customHeight="1">
      <c r="A63" s="1">
        <v>62.0</v>
      </c>
      <c r="B63" s="1" t="s">
        <v>187</v>
      </c>
      <c r="C63" s="1" t="s">
        <v>431</v>
      </c>
      <c r="D63" s="1">
        <v>507753.0</v>
      </c>
      <c r="E63" s="1">
        <v>60839.0</v>
      </c>
      <c r="F63" s="1" t="s">
        <v>432</v>
      </c>
    </row>
    <row r="64" ht="15.75" customHeight="1">
      <c r="A64" s="1">
        <v>63.0</v>
      </c>
      <c r="B64" s="1" t="s">
        <v>190</v>
      </c>
      <c r="C64" s="1" t="s">
        <v>433</v>
      </c>
      <c r="D64" s="1">
        <v>50776.0</v>
      </c>
      <c r="E64" s="1">
        <v>60839.0</v>
      </c>
      <c r="F64" s="1" t="s">
        <v>434</v>
      </c>
    </row>
    <row r="65" ht="15.75" customHeight="1">
      <c r="A65" s="1">
        <v>64.0</v>
      </c>
      <c r="B65" s="1" t="s">
        <v>193</v>
      </c>
      <c r="C65" s="1" t="s">
        <v>435</v>
      </c>
      <c r="D65" s="1">
        <v>515281.0</v>
      </c>
      <c r="E65" s="1">
        <v>115487.0</v>
      </c>
      <c r="F65" s="1" t="s">
        <v>436</v>
      </c>
    </row>
    <row r="66" ht="15.75" customHeight="1">
      <c r="A66" s="1">
        <v>65.0</v>
      </c>
      <c r="B66" s="1" t="s">
        <v>437</v>
      </c>
      <c r="C66" s="1" t="s">
        <v>438</v>
      </c>
      <c r="D66" s="1">
        <v>518349.0</v>
      </c>
      <c r="E66" s="1">
        <v>122424.0</v>
      </c>
      <c r="F66" s="1" t="s">
        <v>439</v>
      </c>
    </row>
    <row r="67" ht="15.75" customHeight="1">
      <c r="A67" s="1">
        <v>66.0</v>
      </c>
      <c r="B67" s="1" t="s">
        <v>440</v>
      </c>
      <c r="C67" s="1" t="s">
        <v>441</v>
      </c>
      <c r="D67" s="1">
        <v>518367.0</v>
      </c>
      <c r="E67" s="1">
        <v>122428.0</v>
      </c>
      <c r="F67" s="1" t="s">
        <v>442</v>
      </c>
    </row>
    <row r="68" ht="15.75" customHeight="1">
      <c r="A68" s="1">
        <v>67.0</v>
      </c>
      <c r="B68" s="1" t="s">
        <v>202</v>
      </c>
      <c r="C68" s="1" t="s">
        <v>443</v>
      </c>
      <c r="D68" s="1">
        <v>518661.0</v>
      </c>
      <c r="E68" s="1">
        <v>126477.0</v>
      </c>
      <c r="F68" s="1" t="s">
        <v>444</v>
      </c>
    </row>
    <row r="69" ht="15.75" customHeight="1">
      <c r="A69" s="1">
        <v>68.0</v>
      </c>
      <c r="B69" s="1" t="s">
        <v>205</v>
      </c>
      <c r="C69" s="1" t="s">
        <v>445</v>
      </c>
      <c r="D69" s="1">
        <v>513393.0</v>
      </c>
      <c r="E69" s="1">
        <v>123747.0</v>
      </c>
      <c r="F69" s="1" t="s">
        <v>446</v>
      </c>
    </row>
    <row r="70" ht="15.75" customHeight="1">
      <c r="A70" s="1">
        <v>69.0</v>
      </c>
      <c r="B70" s="1" t="s">
        <v>208</v>
      </c>
      <c r="C70" s="1" t="s">
        <v>447</v>
      </c>
      <c r="D70" s="1">
        <v>513388.0</v>
      </c>
      <c r="E70" s="1">
        <v>123723.0</v>
      </c>
      <c r="F70" s="1" t="s">
        <v>210</v>
      </c>
    </row>
    <row r="71" ht="15.75" customHeight="1">
      <c r="A71" s="1">
        <v>70.0</v>
      </c>
      <c r="B71" s="1" t="s">
        <v>448</v>
      </c>
      <c r="C71" s="1" t="s">
        <v>449</v>
      </c>
      <c r="D71" s="1">
        <v>513128.0</v>
      </c>
      <c r="E71" s="1">
        <v>124134.0</v>
      </c>
      <c r="F71" s="1" t="s">
        <v>450</v>
      </c>
    </row>
    <row r="72" ht="15.75" customHeight="1">
      <c r="A72" s="1">
        <v>71.0</v>
      </c>
      <c r="B72" s="1" t="s">
        <v>451</v>
      </c>
      <c r="C72" s="1" t="s">
        <v>452</v>
      </c>
      <c r="D72" s="1">
        <v>511642.0</v>
      </c>
      <c r="E72" s="1">
        <v>134827.0</v>
      </c>
      <c r="F72" s="1" t="s">
        <v>453</v>
      </c>
    </row>
    <row r="73" ht="15.75" customHeight="1">
      <c r="A73" s="1">
        <v>72.0</v>
      </c>
      <c r="B73" s="1" t="s">
        <v>217</v>
      </c>
      <c r="C73" s="1" t="s">
        <v>454</v>
      </c>
      <c r="D73" s="1">
        <v>523948.0</v>
      </c>
      <c r="E73" s="1">
        <v>130644.0</v>
      </c>
      <c r="F73" s="1" t="s">
        <v>455</v>
      </c>
    </row>
    <row r="74" ht="15.75" customHeight="1">
      <c r="A74" s="1">
        <v>73.0</v>
      </c>
      <c r="B74" s="1" t="s">
        <v>456</v>
      </c>
      <c r="C74" s="1" t="s">
        <v>457</v>
      </c>
      <c r="D74" s="1">
        <v>523969.0</v>
      </c>
      <c r="E74" s="1">
        <v>130586.0</v>
      </c>
      <c r="F74" s="1" t="s">
        <v>458</v>
      </c>
    </row>
    <row r="75" ht="15.75" customHeight="1">
      <c r="A75" s="1">
        <v>74.0</v>
      </c>
      <c r="B75" s="1" t="s">
        <v>223</v>
      </c>
      <c r="C75" s="1" t="s">
        <v>459</v>
      </c>
      <c r="D75" s="1">
        <v>524039.0</v>
      </c>
      <c r="E75" s="1">
        <v>130682.0</v>
      </c>
      <c r="F75" s="1" t="s">
        <v>460</v>
      </c>
    </row>
    <row r="76" ht="15.75" customHeight="1">
      <c r="A76" s="1">
        <v>75.0</v>
      </c>
      <c r="B76" s="1" t="s">
        <v>461</v>
      </c>
      <c r="C76" s="1" t="s">
        <v>462</v>
      </c>
      <c r="D76" s="1">
        <v>524731.0</v>
      </c>
      <c r="E76" s="1">
        <v>13403.0</v>
      </c>
      <c r="F76" s="1" t="s">
        <v>463</v>
      </c>
    </row>
    <row r="77" ht="15.75" customHeight="1">
      <c r="A77" s="1">
        <v>76.0</v>
      </c>
      <c r="B77" s="1" t="s">
        <v>229</v>
      </c>
      <c r="C77" s="1" t="s">
        <v>464</v>
      </c>
      <c r="D77" s="1">
        <v>525076.0</v>
      </c>
      <c r="E77" s="1">
        <v>133904.0</v>
      </c>
      <c r="F77" s="1" t="s">
        <v>465</v>
      </c>
    </row>
    <row r="78" ht="15.75" customHeight="1">
      <c r="A78" s="1">
        <v>77.0</v>
      </c>
      <c r="B78" s="1" t="s">
        <v>232</v>
      </c>
      <c r="C78" s="1" t="s">
        <v>466</v>
      </c>
      <c r="D78" s="1">
        <v>525163.0</v>
      </c>
      <c r="E78" s="1">
        <v>133777.0</v>
      </c>
      <c r="F78" s="1" t="s">
        <v>234</v>
      </c>
    </row>
    <row r="79" ht="15.75" customHeight="1">
      <c r="A79" s="1">
        <v>78.0</v>
      </c>
      <c r="B79" s="1" t="s">
        <v>235</v>
      </c>
      <c r="C79" s="1" t="s">
        <v>467</v>
      </c>
      <c r="D79" s="1">
        <v>525114.0</v>
      </c>
      <c r="E79" s="1">
        <v>13439.0</v>
      </c>
      <c r="F79" s="1" t="s">
        <v>468</v>
      </c>
    </row>
    <row r="80" ht="15.75" customHeight="1">
      <c r="A80" s="1">
        <v>79.0</v>
      </c>
      <c r="B80" s="1" t="s">
        <v>238</v>
      </c>
      <c r="C80" s="1" t="s">
        <v>469</v>
      </c>
      <c r="D80" s="1">
        <v>525045.0</v>
      </c>
      <c r="E80" s="1">
        <v>134408.0</v>
      </c>
      <c r="F80" s="1" t="s">
        <v>470</v>
      </c>
    </row>
    <row r="81" ht="15.75" customHeight="1">
      <c r="A81" s="1">
        <v>80.0</v>
      </c>
      <c r="B81" s="1" t="s">
        <v>241</v>
      </c>
      <c r="C81" s="1" t="s">
        <v>471</v>
      </c>
      <c r="D81" s="1">
        <v>53125.0</v>
      </c>
      <c r="E81" s="1">
        <v>13093.0</v>
      </c>
      <c r="F81" s="1" t="s">
        <v>472</v>
      </c>
    </row>
    <row r="82" ht="15.75" customHeight="1">
      <c r="A82" s="1">
        <v>81.0</v>
      </c>
      <c r="B82" s="1" t="s">
        <v>244</v>
      </c>
      <c r="C82" s="1" t="s">
        <v>473</v>
      </c>
      <c r="D82" s="1">
        <v>530913.0</v>
      </c>
      <c r="E82" s="1">
        <v>129084.0</v>
      </c>
      <c r="F82" s="1" t="s">
        <v>474</v>
      </c>
    </row>
    <row r="83" ht="15.75" customHeight="1">
      <c r="A83" s="1">
        <v>82.0</v>
      </c>
      <c r="B83" s="1" t="s">
        <v>475</v>
      </c>
      <c r="C83" s="1" t="s">
        <v>476</v>
      </c>
      <c r="D83" s="1">
        <v>535211.0</v>
      </c>
      <c r="E83" s="1">
        <v>126801.0</v>
      </c>
      <c r="F83" s="1" t="s">
        <v>477</v>
      </c>
    </row>
    <row r="84" ht="15.75" customHeight="1">
      <c r="A84" s="1">
        <v>83.0</v>
      </c>
      <c r="B84" s="1" t="s">
        <v>250</v>
      </c>
      <c r="C84" s="1" t="s">
        <v>478</v>
      </c>
      <c r="D84" s="1">
        <v>540865.0</v>
      </c>
      <c r="E84" s="1">
        <v>121095.0</v>
      </c>
      <c r="F84" s="1" t="s">
        <v>479</v>
      </c>
    </row>
    <row r="85" ht="15.75" customHeight="1">
      <c r="A85" s="1">
        <v>84.0</v>
      </c>
      <c r="B85" s="1" t="s">
        <v>253</v>
      </c>
      <c r="C85" s="1" t="s">
        <v>480</v>
      </c>
      <c r="D85" s="1">
        <v>543996.0</v>
      </c>
      <c r="E85" s="1">
        <v>124539.0</v>
      </c>
      <c r="F85" s="1" t="s">
        <v>481</v>
      </c>
    </row>
    <row r="86" ht="15.75" customHeight="1">
      <c r="A86" s="1">
        <v>85.0</v>
      </c>
      <c r="B86" s="1" t="s">
        <v>256</v>
      </c>
      <c r="C86" s="1" t="s">
        <v>482</v>
      </c>
      <c r="D86" s="1">
        <v>543126.0</v>
      </c>
      <c r="E86" s="1">
        <v>130929.0</v>
      </c>
      <c r="F86" s="1" t="s">
        <v>258</v>
      </c>
    </row>
    <row r="87" ht="15.75" customHeight="1">
      <c r="A87" s="1">
        <v>86.0</v>
      </c>
      <c r="B87" s="1" t="s">
        <v>259</v>
      </c>
      <c r="C87" s="1" t="s">
        <v>483</v>
      </c>
      <c r="D87" s="1">
        <v>540924.0</v>
      </c>
      <c r="E87" s="1">
        <v>134022.0</v>
      </c>
      <c r="F87" s="1" t="s">
        <v>484</v>
      </c>
    </row>
    <row r="88" ht="15.75" customHeight="1">
      <c r="A88" s="1">
        <v>87.0</v>
      </c>
      <c r="B88" s="1" t="s">
        <v>262</v>
      </c>
      <c r="C88" s="1" t="s">
        <v>485</v>
      </c>
      <c r="D88" s="1">
        <v>545406.0</v>
      </c>
      <c r="E88" s="1">
        <v>135747.0</v>
      </c>
      <c r="F88" s="1" t="s">
        <v>486</v>
      </c>
    </row>
    <row r="89" ht="15.75" customHeight="1">
      <c r="A89" s="1">
        <v>88.0</v>
      </c>
      <c r="B89" s="1" t="s">
        <v>487</v>
      </c>
      <c r="C89" s="1" t="s">
        <v>488</v>
      </c>
      <c r="D89" s="1">
        <v>540536.0</v>
      </c>
      <c r="E89" s="1">
        <v>142743.0</v>
      </c>
      <c r="F89" s="1" t="s">
        <v>489</v>
      </c>
    </row>
    <row r="90" ht="15.75" customHeight="1">
      <c r="A90" s="1">
        <v>89.0</v>
      </c>
      <c r="B90" s="1" t="s">
        <v>268</v>
      </c>
      <c r="C90" s="1" t="s">
        <v>490</v>
      </c>
      <c r="D90" s="1">
        <v>538923.0</v>
      </c>
      <c r="E90" s="1">
        <v>114628.0</v>
      </c>
      <c r="F90" s="1" t="s">
        <v>491</v>
      </c>
    </row>
    <row r="91" ht="15.75" customHeight="1">
      <c r="A91" s="1">
        <v>90.0</v>
      </c>
      <c r="B91" s="1" t="s">
        <v>492</v>
      </c>
      <c r="C91" s="1" t="s">
        <v>492</v>
      </c>
      <c r="D91" s="1">
        <v>536294.0</v>
      </c>
      <c r="E91" s="1">
        <v>114154.0</v>
      </c>
      <c r="F91" s="1" t="s">
        <v>493</v>
      </c>
    </row>
    <row r="92" ht="15.75" customHeight="1">
      <c r="A92" s="1">
        <v>91.0</v>
      </c>
      <c r="B92" s="1" t="s">
        <v>273</v>
      </c>
      <c r="C92" s="1" t="s">
        <v>494</v>
      </c>
      <c r="D92" s="1">
        <v>538683.0</v>
      </c>
      <c r="E92" s="1">
        <v>106873.0</v>
      </c>
      <c r="F92" s="1" t="s">
        <v>495</v>
      </c>
    </row>
    <row r="93" ht="15.75" customHeight="1">
      <c r="A93" s="1">
        <v>92.0</v>
      </c>
      <c r="B93" s="1" t="s">
        <v>276</v>
      </c>
      <c r="C93" s="1" t="s">
        <v>496</v>
      </c>
      <c r="D93" s="1">
        <v>535496.0</v>
      </c>
      <c r="E93" s="1">
        <v>99882.0</v>
      </c>
      <c r="F93" s="1" t="s">
        <v>497</v>
      </c>
    </row>
    <row r="94" ht="15.75" customHeight="1">
      <c r="A94" s="1">
        <v>93.0</v>
      </c>
      <c r="B94" s="1" t="s">
        <v>279</v>
      </c>
      <c r="C94" s="1" t="s">
        <v>498</v>
      </c>
      <c r="D94" s="1">
        <v>535411.0</v>
      </c>
      <c r="E94" s="1">
        <v>99847.0</v>
      </c>
      <c r="F94" s="1" t="s">
        <v>499</v>
      </c>
    </row>
    <row r="95" ht="15.75" customHeight="1">
      <c r="A95" s="1">
        <v>94.0</v>
      </c>
      <c r="B95" s="1" t="s">
        <v>282</v>
      </c>
      <c r="C95" s="1" t="s">
        <v>500</v>
      </c>
      <c r="D95" s="1">
        <v>535462.0</v>
      </c>
      <c r="E95" s="1">
        <v>99667.0</v>
      </c>
      <c r="F95" s="1" t="s">
        <v>501</v>
      </c>
    </row>
    <row r="96" ht="15.75" customHeight="1">
      <c r="A96" s="1">
        <v>95.0</v>
      </c>
      <c r="B96" s="1" t="s">
        <v>285</v>
      </c>
      <c r="C96" s="1" t="s">
        <v>502</v>
      </c>
      <c r="D96" s="1">
        <v>535503.0</v>
      </c>
      <c r="E96" s="1">
        <v>99668.0</v>
      </c>
      <c r="F96" s="1" t="s">
        <v>503</v>
      </c>
    </row>
    <row r="97" ht="15.75" customHeight="1">
      <c r="A97" s="1">
        <v>96.0</v>
      </c>
      <c r="B97" s="1" t="s">
        <v>288</v>
      </c>
      <c r="C97" s="1" t="s">
        <v>504</v>
      </c>
      <c r="D97" s="1">
        <v>543215.0</v>
      </c>
      <c r="E97" s="1">
        <v>10131.0</v>
      </c>
      <c r="F97" s="1" t="s">
        <v>505</v>
      </c>
    </row>
    <row r="98" ht="15.75" customHeight="1">
      <c r="A98" s="1">
        <v>97.0</v>
      </c>
      <c r="B98" s="1" t="s">
        <v>291</v>
      </c>
      <c r="C98" s="1" t="s">
        <v>506</v>
      </c>
      <c r="D98" s="1">
        <v>543233.0</v>
      </c>
      <c r="E98" s="1">
        <v>10139.0</v>
      </c>
      <c r="F98" s="1" t="s">
        <v>507</v>
      </c>
    </row>
    <row r="99" ht="15.75" customHeight="1">
      <c r="A99" s="1">
        <v>98.0</v>
      </c>
      <c r="B99" s="1" t="s">
        <v>294</v>
      </c>
      <c r="C99" s="1" t="s">
        <v>508</v>
      </c>
      <c r="D99" s="1">
        <v>543433.0</v>
      </c>
      <c r="E99" s="1">
        <v>101247.0</v>
      </c>
      <c r="F99" s="1" t="s">
        <v>509</v>
      </c>
    </row>
    <row r="100" ht="15.75" customHeight="1">
      <c r="A100" s="1">
        <v>99.0</v>
      </c>
      <c r="B100" s="1" t="s">
        <v>297</v>
      </c>
      <c r="C100" s="1" t="s">
        <v>510</v>
      </c>
      <c r="D100" s="1">
        <v>549063.0</v>
      </c>
      <c r="E100" s="1">
        <v>83028.0</v>
      </c>
      <c r="F100" s="1" t="s">
        <v>511</v>
      </c>
    </row>
    <row r="101" ht="15.75" customHeight="1">
      <c r="A101" s="1">
        <v>100.0</v>
      </c>
      <c r="B101" s="1" t="s">
        <v>300</v>
      </c>
      <c r="C101" s="1" t="s">
        <v>512</v>
      </c>
      <c r="D101" s="1">
        <v>521317.0</v>
      </c>
      <c r="E101" s="1">
        <v>116394.0</v>
      </c>
      <c r="F101" s="1" t="s">
        <v>513</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worksheet>
</file>