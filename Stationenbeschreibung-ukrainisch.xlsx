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3" sheetId="1" r:id="rId4"/>
    <sheet state="visible" name="Tabelle2" sheetId="2" r:id="rId5"/>
    <sheet state="visible" name="Tabelle1" sheetId="3" r:id="rId6"/>
  </sheets>
  <definedNames>
    <definedName localSheetId="0" name="ExterneDaten_2">Tabelle3!$A$1:$F$101</definedName>
    <definedName localSheetId="1" name="ExterneDaten_1">Tabelle2!$A$1:$F$101</definedName>
  </definedNames>
  <calcPr/>
</workbook>
</file>

<file path=xl/sharedStrings.xml><?xml version="1.0" encoding="utf-8"?>
<sst xmlns="http://schemas.openxmlformats.org/spreadsheetml/2006/main" count="612" uniqueCount="514">
  <si>
    <t>Nr</t>
  </si>
  <si>
    <t>Station</t>
  </si>
  <si>
    <t>Ort</t>
  </si>
  <si>
    <t>Latitude</t>
  </si>
  <si>
    <t>Longitude</t>
  </si>
  <si>
    <t>Erklärung</t>
  </si>
  <si>
    <t>Main Tower</t>
  </si>
  <si>
    <t>Frankfurt – Main Tower</t>
  </si>
  <si>
    <t>Der Main Tower in Frankfurt am Main ist ein 200 Meter hoher Wolkenkratzer mit öffentlich zugänglicher Aussichtsplattform. Das 2000 eröffnete Hochhaus prägt mit seiner Glasfassade die Frankfurter Skyline und zählt zu den höchsten Gebäuden Deutschlands; von 198 Metern Höhe genießt man einen Rundblick über die Stadt.</t>
  </si>
  <si>
    <t>Finanzmetropole</t>
  </si>
  <si>
    <t>Frankfurt – Römer</t>
  </si>
  <si>
    <t>Frankfurt am Main zählt als Finanzmetropole zu den wichtigsten Bankenstandorten Europas. Sitz der Europäischen Zentralbank und zahlreicher Großbanken, verleiht die Skyline mit den meisten Wolkenkratzern Deutschlands der Stadt den Spitznamen „Mainhattan“.</t>
  </si>
  <si>
    <t>Kurtradition</t>
  </si>
  <si>
    <t>Wiesbaden – Kurhaus</t>
  </si>
  <si>
    <t>Wiesbaden gilt seit dem 19. Jahrhundert als mondäne Kurstadt. Das neoklassizistische Kurhaus von 1907, Thermalquellen und weitläufige Kurparks spiegeln bis heute die historische Wellness-Kultur wider.</t>
  </si>
  <si>
    <t>Johannes Gutenberg</t>
  </si>
  <si>
    <t>Mainz – Gutenberg-Museum</t>
  </si>
  <si>
    <t>Johannes Gutenberg revolutionierte um 1450 in Mainz den Buchdruck mit beweglichen Lettern. Das Gutenberg-Museum zeigt u. a. zwei Gutenberg-Bibeln und demonstriert an historischen Pressen die Technik, die das Lesen weltweit veränderte.</t>
  </si>
  <si>
    <t>Weinfest</t>
  </si>
  <si>
    <t>Rüdesheim – Drosselgasse</t>
  </si>
  <si>
    <t>Die Drosselgasse in Rüdesheim ist eine 144 Meter lange Fachwerkgasse voller Weinstuben. Ihre Weinfeste mit Live-Musik repräsentieren die gesellige Rheingauer Weinkultur.</t>
  </si>
  <si>
    <t>Helene Fischer</t>
  </si>
  <si>
    <t>Wöllstein – Geburtsort</t>
  </si>
  <si>
    <t>Helene Fischer (*1984) wuchs in Wöllstein auf und wurde zur erfolgreichsten deutschen Schlagersängerin. Hits wie „Atemlos durch die Nacht“ und zahlreiche Auszeichnungen prägen ihre Karriere.</t>
  </si>
  <si>
    <t>Loreley</t>
  </si>
  <si>
    <t>St. Goar – Loreleyfelsen</t>
  </si>
  <si>
    <t>Der 132 Meter hohe Loreley-Felsen am Rhein ist sagenumwoben: Eine Nixe soll mit ihrem Gesang Schiffer ins Verderben gelockt haben. Heute ist der Aussichtspunkt Teil des UNESCO-Welterbes Oberes Mittelrheintal.</t>
  </si>
  <si>
    <t>Weinbau</t>
  </si>
  <si>
    <t>Boppard – Rheinschleife</t>
  </si>
  <si>
    <t>An der Rheinschleife bei Boppard wachsen auf steilen Schieferhängen Riesling-Reben. Der Bopparder Hamm dokumentiert seit Jahrhunderten die Weinbautradition des Mittelrheins.</t>
  </si>
  <si>
    <t>Deutsches Eck</t>
  </si>
  <si>
    <t>Koblenz – Deutsches Eck</t>
  </si>
  <si>
    <t>Am Deutschen Eck fließen Mosel und Rhein zusammen. Das Reiterstandbild Kaiser Wilhelms I. (1897) erinnert an die Reichsgründung und wurde nach 1945 zum Symbol der deutschen Einheit.</t>
  </si>
  <si>
    <t>Autobahn Erlebnis</t>
  </si>
  <si>
    <t>Nürburgring – GP-Strecke</t>
  </si>
  <si>
    <t>Deutschlands Autobahnen sind für fehlende Tempolimits bekannt. Auf der Nordschleife des Nürburgrings können Fahrer Hochgeschwindigkeit legal erleben – ein kontrolliertes Pendant zum Autobahnrausch.</t>
  </si>
  <si>
    <t>Beethoven</t>
  </si>
  <si>
    <t>Bonn – Beethoven-Haus</t>
  </si>
  <si>
    <t>Ludwig van Beethoven (1770–1827) wurde in Bonn geboren. Sein Geburtshaus bewahrt Originalinstrumente und Handschriften des Komponisten, dessen Werke die klassische Musik bis heute prägen.</t>
  </si>
  <si>
    <t>Kölner Karneval</t>
  </si>
  <si>
    <t>Köln – Alter Markt</t>
  </si>
  <si>
    <t>Der Kölner Karneval, seit 1823 organisiert, verwandelt die Stadt vom 11. 11. bis Aschermittwoch in ein buntes Volksfest. Höhepunkt ist der Rosenmontagszug mit Hunderttausenden kostümierten Jecken.</t>
  </si>
  <si>
    <t>Konrad Adenauer</t>
  </si>
  <si>
    <t>Köln – Adenauer-Haus</t>
  </si>
  <si>
    <t>Konrad Adenauer (1876–1967) war Kölner Oberbürgermeister und erster Bundeskanzler der Bundesrepublik. Sein Wohnhaus in Rhöndorf erzählt von seinem Einsatz für Wiederaufbau und Westbindung.</t>
  </si>
  <si>
    <t>Neandertaler Fund</t>
  </si>
  <si>
    <t>Mettmann – Neanderthal Museum</t>
  </si>
  <si>
    <t>Der 1856 gefundene Neandertaler-Schädel revolutionierte das Verständnis menschlicher Evolution. Das Neanderthal Museum veranschaulicht die Geschichte unserer fossilen Verwandten.</t>
  </si>
  <si>
    <t>Rheinmetropole</t>
  </si>
  <si>
    <t>Düsseldorf – Rheinturm</t>
  </si>
  <si>
    <t>Düsseldorf verbindet Altstadt, Mode- und Messekultur mit moderner Architektur im Medienhafen. Der Rheinturm bietet einen Panoramablick auf die Rheinmetropole und ihre Kunst- und Shopping-Szene.</t>
  </si>
  <si>
    <t>Stahl &amp; Kultur</t>
  </si>
  <si>
    <t>Duisburg – Innenhafen</t>
  </si>
  <si>
    <t>Der Duisburger Innenhafen, einst Speicher- und Handelshafen, wurde zum Kultur- und Büroquartier umgestaltet. Restaurierte Speicher und Museen zeigen den erfolgreichen Strukturwandel von Stahl zu Kultur.</t>
  </si>
  <si>
    <t>Ruhrindustrie</t>
  </si>
  <si>
    <t>Essen – Zeche Zollverein</t>
  </si>
  <si>
    <t>Die stillgelegte Zeche Zollverein, ein Bauhaus-Industrie-Ensemble, ist UNESCO-Welterbe. Ausstellungen und Events lassen die Bergbaugeschichte des Ruhrgebiets lebendig werden.</t>
  </si>
  <si>
    <t>UNESCO Zollverein</t>
  </si>
  <si>
    <t>Essen – Kokerei Zollverein</t>
  </si>
  <si>
    <t>Die Kokerei Zollverein verarbeitete bis 1993 Kohle zu Koks und ist heute Teil des Weltkulturerbes. Besucher erkunden Fördertürme, Öfen und Aussichtsplattformen eines herausragenden Industriedenkmals.</t>
  </si>
  <si>
    <t>Fußball Bundesliga</t>
  </si>
  <si>
    <t>Dortmund – Signal Iduna Park</t>
  </si>
  <si>
    <t>Borussia Dortmunds Stadion mit der legendären „Gelben Wand“ steht für die Fankultur der Fußball-Bundesliga, die seit 1963 Millionen begeistert.</t>
  </si>
  <si>
    <t>Westfälische Fachwerkstadt</t>
  </si>
  <si>
    <t>Münster – Prinzipalmarkt</t>
  </si>
  <si>
    <t>Münsters Prinzipalmarkt mit Giebelhäusern und Arkaden, Rathaus und Lambertikirche vereint mittelalterliche Baukunst und Wiederaufbau. Fahrräder und Friedensgeschichte prägen das Stadtbild.</t>
  </si>
  <si>
    <t>Teutoburger Wald</t>
  </si>
  <si>
    <t>Bielefeld – Sparrenburg</t>
  </si>
  <si>
    <t>Die mittelalterliche Sparrenburg überragt Bielefeld am Rand des Teutoburger Waldes, der durch die Varusschlacht (9 n. Chr.) historisch bekannt ist.</t>
  </si>
  <si>
    <t>Moderne Stadt</t>
  </si>
  <si>
    <t>Hannover – Neues Rathaus</t>
  </si>
  <si>
    <t>Hannovers wilhelminisches Neues Rathaus (1913) symbolisiert den Wiederaufbau der Stadt, die heute Messestandort und grüne Großstadt mit den Herrenhäuser Gärten ist.</t>
  </si>
  <si>
    <t>Hannah Arendt</t>
  </si>
  <si>
    <t>Hannover – H.-Arendt-Platz</t>
  </si>
  <si>
    <t>Die politische Theoretikerin Hannah Arendt (1906–1975) wurde in Hannover geboren. Der Hannah-Arendt-Platz mahnt an Demokratie, Freiheit und Verantwortung.</t>
  </si>
  <si>
    <t>Expo 2000</t>
  </si>
  <si>
    <t>Hannover – Expo-Park</t>
  </si>
  <si>
    <t>Die Expo 2000 war die erste Weltausstellung in Deutschland. Pavillons und Neubauten im Expo-Park erinnern an innovative Konzepte zu Mensch, Natur und Technik.</t>
  </si>
  <si>
    <t>Schloss Herrenhausen</t>
  </si>
  <si>
    <t>Hannover – Herrenhausen</t>
  </si>
  <si>
    <t>Das rekonstruierte Schloss Herrenhausen liegt inmitten der berühmten barocken Herrenhäuser Gärten mit Wasserspielen und Botanischem Berggarten.</t>
  </si>
  <si>
    <t>Braunschweig – Schloss</t>
  </si>
  <si>
    <t>Die Fassade des im Krieg zerstörten Welfenschlosses wurde 2007 vor ein modernes Einkaufs- und Kulturzentrum gesetzt – ein Beispiel für Tradition im neuen Gewand.</t>
  </si>
  <si>
    <t>Planetarium</t>
  </si>
  <si>
    <t>Wolfsburg – Phaeno</t>
  </si>
  <si>
    <t>Das von Zaha Hadid entworfene Phaeno Science Center inszeniert Naturphänomene interaktiv. Es ergänzt Wolfsburgs Autostadt und die VW-Historie um Wissenschaftserlebnisse.</t>
  </si>
  <si>
    <t>Volkswagen-Gründung</t>
  </si>
  <si>
    <t>Wolfsburg – Autostadt</t>
  </si>
  <si>
    <t>1938 als Standort für den VW-Käfer gegründet, erzählt Wolfsburgs Autostadt mit Pavillons und Oldtimern die Geschichte des Konzerns und des Automobils.</t>
  </si>
  <si>
    <t>Harz &amp; Bergbau</t>
  </si>
  <si>
    <t>Goslar – Altstadt</t>
  </si>
  <si>
    <t>Die Fachwerk-Altstadt Goslars und das Erzbergwerk Rammelsberg bilden ein gemeinsames UNESCO-Welterbe: ein Jahrtausend Harzer Erzbergbau trifft mittelalterliche Kaiserstadt.</t>
  </si>
  <si>
    <t>Universitätsstadt</t>
  </si>
  <si>
    <t>Göttingen – Gänseliesel</t>
  </si>
  <si>
    <t>Seit 1737 prägt die Universität Göttingen die Stadt. Der Gänseliesel-Brunnen gilt als „meistgeküsstes Mädchen der Welt“, denn frisch promovierte Doktoranden küssen die Statue.</t>
  </si>
  <si>
    <t>Brüder Grimm</t>
  </si>
  <si>
    <t>Kassel – Grimm-Museum</t>
  </si>
  <si>
    <t>In Kassel sammelten Jacob und Wilhelm Grimm ihre weltberühmten Märchen. Die Grimmwelt präsentiert Manuskripte und sprachwissenschaftliches Erbe.</t>
  </si>
  <si>
    <t>Documenta</t>
  </si>
  <si>
    <t>Kassel – Friedrichsplatz</t>
  </si>
  <si>
    <t>Die alle fünf Jahre stattfindende documenta macht Kassel zur Welthauptstadt zeitgenössischer Kunst und verwandelt die Stadt in ein riesiges Open-Air-Museum.</t>
  </si>
  <si>
    <t>Landgrafenkunst</t>
  </si>
  <si>
    <t>Kassel – Bergpark Wilhelmshöhe</t>
  </si>
  <si>
    <t>Europas größter Hangpark mit Herkules-Statue und barocken Wasserspielen ist UNESCO-Welterbe und Zeugnis landgräflicher Gartenkunst.</t>
  </si>
  <si>
    <t>Wartburgfest</t>
  </si>
  <si>
    <t>Eisenach – Wartburg</t>
  </si>
  <si>
    <t>1817 forderten Studenten auf der Wartburg nationale Einheit und Freiheitsrechte. Die Burg ist auch durch Luthers Bibelübersetzung berühmt.</t>
  </si>
  <si>
    <t>Lutherische Kirchenkunst</t>
  </si>
  <si>
    <t>Erfurt – Dom</t>
  </si>
  <si>
    <t>Der gotische Erfurter Dom beherbergt die Gloriosa, größte freischwingende mittelalterliche Glocke. Hier wurde Martin Luther 1507 zum Priester geweiht.</t>
  </si>
  <si>
    <t>Goethe</t>
  </si>
  <si>
    <t>Weimar – Goethe-Haus</t>
  </si>
  <si>
    <t>Goethes Wohnhaus zeigt originale Räume und Sammlungen des Dichters, der mit Schiller die Weimarer Klassik prägte.</t>
  </si>
  <si>
    <t>Hyperinflation 1923</t>
  </si>
  <si>
    <t>Weimar – DNT</t>
  </si>
  <si>
    <t>Die Geldentwertung der Weimarer Republik erreichte 1923 ihren Höhepunkt: Preise explodierten, Ersparnisse verfielen – ein Trauma deutscher Wirtschaftsgeschichte.</t>
  </si>
  <si>
    <t>Rennsteig</t>
  </si>
  <si>
    <t>Thüringer Wald – Rennsteig</t>
  </si>
  <si>
    <t>Der 170 km lange Rennsteig-Kammweg ist ältester Fernwanderweg Deutschlands und verbindet Kultur- und Naturlandschaften des Thüringer Waldes.</t>
  </si>
  <si>
    <t>Glasmacherkunst</t>
  </si>
  <si>
    <t>Lauscha – Glasbläserwerkstatt</t>
  </si>
  <si>
    <t>Lauscha gilt als Geburtsort der gläsernen Christbaumkugel. Seit 1597 pflegen Familienbetriebe hier die Kunst des Glasblasens.</t>
  </si>
  <si>
    <t>Barockschloss</t>
  </si>
  <si>
    <t>Coburg – Veste Coburg</t>
  </si>
  <si>
    <t>Die Veste Coburg, eine der größten Burgen Deutschlands, beherbergt Kunstsammlungen und war 1530 Luther-Fluchtort.</t>
  </si>
  <si>
    <t>Biertradition</t>
  </si>
  <si>
    <t>Kulmbach – Mönchshof</t>
  </si>
  <si>
    <t>Kulmbach präsentiert im Bayerischen Brauereimuseum Starkbier- und Eisbock-Tradition und feiert jährlich die Bierwoche.</t>
  </si>
  <si>
    <t>Biertradition2</t>
  </si>
  <si>
    <t>Kulmbach – Brauerei</t>
  </si>
  <si>
    <t>Fränkische Braukunst mit Reinheitsgebot: Kulmbacher Starkbiere genießen internationalen Ruf und prägen lokale Identität.</t>
  </si>
  <si>
    <t>Markgrafenkunst</t>
  </si>
  <si>
    <t>Bayreuth – Opernhaus</t>
  </si>
  <si>
    <t>Das Markgräfliche Opernhaus (1748) ist ein vollständig erhaltenes Barocktheater und UNESCO-Welterbe – ein Juwel höfischer Festkultur.</t>
  </si>
  <si>
    <t>Richard Wagner</t>
  </si>
  <si>
    <t>Bayreuth – Festspielhaus</t>
  </si>
  <si>
    <t>Das 1876 eröffnete Festspielhaus, akustisch auf Wagners Musikdramen ausgelegt, zieht Opernliebhaber aus aller Welt zu den Bayreuther Festspielen.</t>
  </si>
  <si>
    <t>Fränkische Schweiz</t>
  </si>
  <si>
    <t>Pottenstein – Teufelshöhle</t>
  </si>
  <si>
    <t>Die zerklüftete Karstlandschaft mit Tropfsteinhöhlen und Burgruinen ist seit dem 19. Jh. ein beliebtes Wander- und Klettergebiet.</t>
  </si>
  <si>
    <t>UNESCO-Altstadt</t>
  </si>
  <si>
    <t>Bamberg – Altstadt</t>
  </si>
  <si>
    <t>Bambergs sieben-hügelige Altstadt mit romanischem Dom und Rathaus in der Regnitz gilt als größtes unzerstörtes historisches Stadtbild Deutschlands.</t>
  </si>
  <si>
    <t>Weihnachtsmarkt</t>
  </si>
  <si>
    <t>Nürnberg – Hauptmarkt</t>
  </si>
  <si>
    <t>Der Nürnberger Christkindlesmarkt, seit dem 16. Jh. belegt, lockt mit Lebkuchen und Holzspielzeug jährlich zwei Millionen Besucher.</t>
  </si>
  <si>
    <t>Holocaust-Dokumentation</t>
  </si>
  <si>
    <t>Nürnberg – Memorium</t>
  </si>
  <si>
    <t>Das Memorium Nürnberger Prozesse erinnert in Saal 600 an die juristische Aufarbeitung der NS-Verbrechen und die Geburtsstunde des Völkerstrafrechts.</t>
  </si>
  <si>
    <t>Bier Reinheitsgebot</t>
  </si>
  <si>
    <t>Ingolstadt – Herzogskasten</t>
  </si>
  <si>
    <t>1516 verkündeten bayerische Herzöge in Ingolstadt das Reinheitsgebot: Bier darf nur aus Wasser, Gerste, Hopfen bestehen – älteste Lebensmittelvorschrift der Welt.</t>
  </si>
  <si>
    <t>Fußball Allianz Arena</t>
  </si>
  <si>
    <t>München – Allianz Arena</t>
  </si>
  <si>
    <t>Die 2005 eröffnete Allianz Arena mit licht­durch­lässiger Außenhaut ist Heim des FC Bayern und eines der markantesten Stadien Europas.</t>
  </si>
  <si>
    <t>Olympia 1972</t>
  </si>
  <si>
    <t>München – Olympiapark</t>
  </si>
  <si>
    <t>Die Spiele von 1972 setzten mit ihrer Zeltdach-Architektur neue Maßstäbe; das Attentat auf die israelische Mannschaft prägte die Erinnerung an das moderne Areal.</t>
  </si>
  <si>
    <t>Sophie Scholl</t>
  </si>
  <si>
    <t>München – LMU</t>
  </si>
  <si>
    <t>Sophie Scholl verteilte 1943 Flugblätter der „Weißen Rose“ an der LMU. Heute mahnen Gedenktafeln an ihren mutigen Widerstand gegen das NS-Regime.</t>
  </si>
  <si>
    <t>Oktoberfest</t>
  </si>
  <si>
    <t>München – Theresienwiese</t>
  </si>
  <si>
    <t>Seit 1810 feiert München das Oktoberfest. Riesige Bierzelte, Fahrgeschäfte und Trachten ziehen jährlich Millionen Besucher an.</t>
  </si>
  <si>
    <t>Schloss Neuschwanstein</t>
  </si>
  <si>
    <t>Schwangau – Neuschwanstein</t>
  </si>
  <si>
    <t>König Ludwigs Märchenschloss (ab 1869) verkörpert romantischen Historismus in alpiner Kulisse und diente als Vorbild für das Disney-Schloss.</t>
  </si>
  <si>
    <t>Zeppelinflug 1900</t>
  </si>
  <si>
    <t>Friedrichshafen – Zeppelin Museum</t>
  </si>
  <si>
    <t>Hier startete 1900 der erste Zeppelin der Welt. Das Museum zeigt Exponate zur Luftschiffära, darunter ein Teilstück der „Hindenburg“.</t>
  </si>
  <si>
    <t>Albert Einstein</t>
  </si>
  <si>
    <t>Ulm – Einstein-Brunnen</t>
  </si>
  <si>
    <t>Albert Einstein, 1879 in Ulm geboren, revolutionierte mit Relativitäts- und Quantentheorie die Physik. Der Brunnen erinnert an das Genie.</t>
  </si>
  <si>
    <t>Cannstatter Wasen</t>
  </si>
  <si>
    <t>Stuttgart – Wasen</t>
  </si>
  <si>
    <t>Das Cannstatter Volksfest (seit 1818) ist nach dem Oktoberfest das zweitgrößte deutsche Bier- und Volksfest und zieht jährlich rund vier Millionen Gäste an.</t>
  </si>
  <si>
    <t>Heidelberg – Schloss</t>
  </si>
  <si>
    <t>Die romantische Schlossruine über dem Neckar war Residenz der Kurfürsten. Ihre Renaissance-Fassaden und das Große Fass begeisterten schon Goethe.</t>
  </si>
  <si>
    <t>Carl Benz</t>
  </si>
  <si>
    <t>Mannheim – Carl-Benz-Haus</t>
  </si>
  <si>
    <t>Carl Benz baute 1885/86 in Mannheim den ersten praxistauglichen Motorwagen. Bertha Benz’ erste Fernfahrt bewies seine Alltagstauglichkeit.</t>
  </si>
  <si>
    <t>Barocke Stadt</t>
  </si>
  <si>
    <t>Würzburg – Residenz</t>
  </si>
  <si>
    <t>Die Würzburger Residenz (1720–1744) mit Tiepolo-Fresko und Spiegelsaal gilt als Hauptwerk des süddeutschen Barock und ist UNESCO-Welterbe.</t>
  </si>
  <si>
    <t>Schwarzwälder Kirschtorte</t>
  </si>
  <si>
    <t>Triberg – Café Schäfer</t>
  </si>
  <si>
    <t>Im Schwarzwald entstand die Sahne-Schokoladen-Kirschtorte mit Kirschwasser. Das Café Schäfer serviert sie nach historischem Rezept.</t>
  </si>
  <si>
    <t>Aachener Dom</t>
  </si>
  <si>
    <t>Aachen – Dom</t>
  </si>
  <si>
    <t>Karls Pfalzkapelle (8./9. Jh.) und gotischer Chor sind erstes deutsches UNESCO-Welterbe. Über 30 deutsche Könige wurden hier gekrönt.</t>
  </si>
  <si>
    <t>UNESCO Dombezirk</t>
  </si>
  <si>
    <t>Aachen – Dombezirk</t>
  </si>
  <si>
    <t>Der Aachener Domschatz mit Karlsschrein und Marienschrein zählt zu den bedeutendsten Kirchenschätzen Europas und ergänzt den Weltkulturerbe-Dom.</t>
  </si>
  <si>
    <t>Lutherstadt</t>
  </si>
  <si>
    <t>Eisleben – Gedenkstätten</t>
  </si>
  <si>
    <t>Luthers Geburts- und Sterbehäuser in Eisleben sind UNESCO-Welterbe und dokumentieren Leben und Wirkung des Reformators.</t>
  </si>
  <si>
    <t>Architektur­moderne</t>
  </si>
  <si>
    <t>Dessau – Meisterhäuser</t>
  </si>
  <si>
    <t>Die Meisterhäuser (1925/26) von Gropius für Bauhaus-Lehrer wie Kandinsky repräsentieren funktionale Bauhaus-Architektur im Originalzustand.</t>
  </si>
  <si>
    <t>Bauhaus-Gründung</t>
  </si>
  <si>
    <t>Dessau – Bauhaus</t>
  </si>
  <si>
    <t>Das Bauhausgebäude (1926) mit Glasfassade steht für die Verschmelzung von Kunst, Handwerk und Industrie – ein Meilenstein der Moderne.</t>
  </si>
  <si>
    <t>Reformation</t>
  </si>
  <si>
    <t>Lutherstadt Wittenberg – Schlosskirche</t>
  </si>
  <si>
    <t>Luthers 95 Thesen von 1517 an der Schlosskirche lösten die Reformation aus und veränderten Kirche und Gesellschaft nachhaltig.</t>
  </si>
  <si>
    <t>Jazzfest</t>
  </si>
  <si>
    <t>Leipzig – Moritzbastei</t>
  </si>
  <si>
    <t>Die Leipziger Jazztage (seit 1976) holen internationale Jazzgrößen in historische Spielstätten wie die unterirdische Moritzbastei.</t>
  </si>
  <si>
    <t>Johann Sebastian Bach</t>
  </si>
  <si>
    <t>Leipzig – Bach-Museum</t>
  </si>
  <si>
    <t>Bach wirkte ab 1723 als Thomaskantor in Leipzig. Das Museum zeigt Handschriften und Instrumente des Barockkomponisten.</t>
  </si>
  <si>
    <t>Völkerschlacht 1813</t>
  </si>
  <si>
    <t>Leipzig – Denkmal</t>
  </si>
  <si>
    <t>Das 91 Meter hohe Völkerschlachtdenkmal erinnert an Napoleons Niederlage in der größten Schlacht vor dem Ersten Weltkrieg.</t>
  </si>
  <si>
    <t>Meißen Porzellan</t>
  </si>
  <si>
    <t>Meißen – Porzellanmuseum</t>
  </si>
  <si>
    <t>1710 entstand in Meißen das erste europäische Hartporzellan. Das Museum zeigt Meisterstücke mit den gekreuzten Schwertern.</t>
  </si>
  <si>
    <t>Forschung &amp; Flug</t>
  </si>
  <si>
    <t>Berlin – Dt. Technikmuseum</t>
  </si>
  <si>
    <t>Das Technikmuseum präsentiert Lokomotiven, Schiffe und einen „Rosinenbomber“ auf dem Dach – Technikgeschichte zum Anfassen.</t>
  </si>
  <si>
    <t>Preußische Pracht</t>
  </si>
  <si>
    <t>Potsdam – Schloss Sanssouci</t>
  </si>
  <si>
    <t>Friedrich der Große ließ Sanssouci (1747) als Rokoko-Sommerresidenz über Weinbergterrassen erbauen; Park und Schlösser sind UNESCO-Welterbe.</t>
  </si>
  <si>
    <t>Filmgeschichte</t>
  </si>
  <si>
    <t>Potsdam – Filmpark Babelsberg</t>
  </si>
  <si>
    <t>Die Babelsberger Studios (ab 1912) sind Wiege des deutschen Films. Der Filmpark gewährt Einblicke in Kulissen, Stunts und Tricktechnik.</t>
  </si>
  <si>
    <t>Berliner Luftbrücke</t>
  </si>
  <si>
    <t>Berlin – Tempelhof</t>
  </si>
  <si>
    <t>1948/49 versorgten Rosinenbomber den blockierten Westteil der Stadt über den Flughafen Tempelhof – ein Symbol westlicher Solidarität.</t>
  </si>
  <si>
    <t>Kalter Krieg</t>
  </si>
  <si>
    <t>Berlin – Checkpoint Charlie</t>
  </si>
  <si>
    <t>Der bekannteste Berliner Grenzübergang war Schauplatz brisanter Panzerkonfrontationen zwischen USA und UdSSR im Oktober 1961.</t>
  </si>
  <si>
    <t>Hauptstadtgeschichte</t>
  </si>
  <si>
    <t>Berlin – Brandenburger Tor</t>
  </si>
  <si>
    <t>Das klassizistische Tor (1791) stand bis 1989 an der Mauer und wurde nach dem Fall zum Symbol der deutschen Einheit.</t>
  </si>
  <si>
    <t>Techno-Kultur</t>
  </si>
  <si>
    <t>Berlin – Berghain</t>
  </si>
  <si>
    <t>Der Club Berghain in einem ehemaligen Kraftwerk gilt als Mekka des Techno: kompromisslose Türpolitik und erstklassiger Sound erzeugen Kultstatus.</t>
  </si>
  <si>
    <t>Mauerfall</t>
  </si>
  <si>
    <t>Berlin – East Side Gallery</t>
  </si>
  <si>
    <t>Die bemalten 1,3 km Mauerreste zeigen über 100 Murals, die Freude über die friedliche Revolution von 1989 ausdrücken.</t>
  </si>
  <si>
    <t>Parklandschaft</t>
  </si>
  <si>
    <t>Fürstenberg/Havel – Schloss</t>
  </si>
  <si>
    <t>Schloss Fürstenberg liegt in einer seen- und waldreichen Parklandschaft Nordbrandenburgs und spiegelt adlige Kultur in naturnaher Umgebung.</t>
  </si>
  <si>
    <t>Brandenburgische Seen</t>
  </si>
  <si>
    <t>Rheinsberg – Schloss</t>
  </si>
  <si>
    <t>Schloss Rheinsberg am Grienericksee, einst Residenz Friedrichs des Großen, repräsentiert die idyllischen Seen des Ruppiner Landes.</t>
  </si>
  <si>
    <t>Müritzeum</t>
  </si>
  <si>
    <t>Waren – Müritzeum</t>
  </si>
  <si>
    <t>Deutschlands größtes Süßwasseraquarium informiert im Müritzeum über Flora und Fauna der Mecklenburgischen Seenplatte.</t>
  </si>
  <si>
    <t>Hafengeschichte</t>
  </si>
  <si>
    <t>Rostock – Alter Strom</t>
  </si>
  <si>
    <t>Warnemündes Alter Strom zeigt mit Fischerbooten und Kapitänshäusern die maritime Tradition der Hansestadt Rostock.</t>
  </si>
  <si>
    <t>Fischerdorf</t>
  </si>
  <si>
    <t>Ahrenshoop – Künstlerkolonie</t>
  </si>
  <si>
    <t>Das ehemalige Fischerdorf Ahrenshoop wurde ab 1890 zur Künstlerkolonie; Reetdächer und Ostseelicht inspirieren Maler bis heute.</t>
  </si>
  <si>
    <t>Stadterhebung</t>
  </si>
  <si>
    <t>Stralsund – Altstadt</t>
  </si>
  <si>
    <t>Stralsunds Backsteingotik-Altstadt erhielt 1234 Stadtrecht; als Hanse-Hafen ist sie zusammen mit Wismar UNESCO-Welterbe.</t>
  </si>
  <si>
    <t>Backsteingotik</t>
  </si>
  <si>
    <t>Greifswald – Dom</t>
  </si>
  <si>
    <t>Der Dom St. Nikolai (13. Jh.) dominiert Greifswalds Silhouette und verkörpert norddeutsche Backsteingotik und Hanse-Reichtum.</t>
  </si>
  <si>
    <t>Nationalpark Jasmund</t>
  </si>
  <si>
    <t>Rügen – Kreideküste</t>
  </si>
  <si>
    <t>Die weißen Kreidefelsen und alten Buchenwälder des Nationalparks Jasmund sind UNESCO-Weltnaturerbe und Inspiration romantischer Maler.</t>
  </si>
  <si>
    <t>Kaiserbäder Usedom</t>
  </si>
  <si>
    <t>Usedom – Kaiserbäder</t>
  </si>
  <si>
    <t>Ahlbeck, Heringsdorf, Bansin lockten seit 1900 mit Seebrücken und Bäderarchitektur das Berliner Bürgertum an die Ostsee.</t>
  </si>
  <si>
    <t>UNESCO-Altstadt Wismar</t>
  </si>
  <si>
    <t>Wismar – Altstadt</t>
  </si>
  <si>
    <t>Giebelhäuser, Wasserkunst und Backsteinkirchen bezeugen Wismars Hanse-Vergangenheit und machten die Altstadt zum Weltkulturerbe.</t>
  </si>
  <si>
    <t>Schwerin – Schloss</t>
  </si>
  <si>
    <t>Das romantische Insel-Schloss mit Türmen und goldenem Turmhelm ist Sitz des Landtags Mecklenburg-Vorpommerns und ein Märchenmotiv.</t>
  </si>
  <si>
    <t>Backsteingotik Ost</t>
  </si>
  <si>
    <t>Lübeck – Holstentor</t>
  </si>
  <si>
    <t>Das spätgotische Holstentor (1464–1478) mit Zwillings­türmen ist Lübecks Wahrzeichen und erinnert an die Blüte der Hanse.</t>
  </si>
  <si>
    <t>St. Michaelis</t>
  </si>
  <si>
    <t>Hamburg – Michel</t>
  </si>
  <si>
    <t>Der barocke Michel mit 132 m Turm bietet Seefahrern Orientierung und Hamburgern ein identitätsstiftendes Wahrzeichen.</t>
  </si>
  <si>
    <t>Elbphilharmonie</t>
  </si>
  <si>
    <t>Hamburg – Elbphilharmonie</t>
  </si>
  <si>
    <t>Das 2017 eröffnete Konzerthaus kombiniert modernen Glaswellenbau auf historischem Kaispeicher und setzt akustische Maßstäbe.</t>
  </si>
  <si>
    <t>Hafengeburtstag</t>
  </si>
  <si>
    <t>Hamburg – Landungsbrücken</t>
  </si>
  <si>
    <t>Europas größtes Hafenfest feiert seit 1189 die Hamburger Schifffahrt mit Ein- und Auslaufparaden von Segel- bis Kreuzfahrtschiffen.</t>
  </si>
  <si>
    <t>Reeperbahn</t>
  </si>
  <si>
    <t>Hamburg – St. Pauli</t>
  </si>
  <si>
    <t>St. Paulis Reeperbahn ist weltberühmtes Vergnügungs- und Rotlichtviertel, wo in den 1960ern die Beatles ihren Durchbruch hatten.</t>
  </si>
  <si>
    <t>Handball THW Kiel</t>
  </si>
  <si>
    <t>Kiel – Wunderino Arena</t>
  </si>
  <si>
    <t>THW Kiel, vielfacher deutscher und Champions-League-Sieger, sorgt in der Wunderino Arena für Handball-Atmosphäre auf Weltklasseniveau.</t>
  </si>
  <si>
    <t>Kieler Woche</t>
  </si>
  <si>
    <t>Kiel – Hörn</t>
  </si>
  <si>
    <t>Seit 1882 ist die Kieler Woche das größte Segelereignis der Welt; Regatten und maritimes Volksfest beleben eine Woche lang die Förde.</t>
  </si>
  <si>
    <t>Max Planck</t>
  </si>
  <si>
    <t>Kiel – Max-Planck-Schule</t>
  </si>
  <si>
    <t>Der in Kiel geborene Physiker Max Planck (1858–1947) begründete mit seiner Quantentheorie die moderne Physik.</t>
  </si>
  <si>
    <t>Sylt Strandkultur</t>
  </si>
  <si>
    <t>Westerland – Strandpromenade</t>
  </si>
  <si>
    <t>Sylt vereint Kurtradition, endlose Sandstrände und Prominentenflair; Strandkörbe und Reetdörfer prägen Deutschlands bekannteste Nordseeinsel.</t>
  </si>
  <si>
    <t>Moderne Kunst</t>
  </si>
  <si>
    <t>Magdeburg – Kunstmuseum</t>
  </si>
  <si>
    <t>Das Kunstmuseum im Kloster Unser Lieben Frauen verbindet romanische Architektur mit internationaler Gegenwartskunst – Symbol des modernen Magdeburg.</t>
  </si>
  <si>
    <t>ErklÃ¤rung</t>
  </si>
  <si>
    <t>Frankfurt â€“ Main Tower</t>
  </si>
  <si>
    <t>Der Main Tower in Frankfurt am Main ist ein 200 Meter hoher Wolkenkratzer mit Ã¶ffentlich zugÃ¤nglicher Aussichtsplattform. Das 2000 erÃ¶ffnete Hochhaus prÃ¤gt mit seiner Glasfassade die Frankfurter Skyline und zÃ¤hlt zu den hÃ¶chsten GebÃ¤uden Deutschlands; von 198 Metern HÃ¶he genieÃŸt man einen Rundblick Ã¼ber die Stadt.</t>
  </si>
  <si>
    <t>Frankfurt â€“ RÃ¶mer</t>
  </si>
  <si>
    <t>Frankfurt am Main zÃ¤hlt als Finanzmetropole zu den wichtigsten Bankenstandorten Europas. Sitz der EuropÃ¤ischen Zentralbank und zahlreicher GroÃŸbanken, verleiht die Skyline mit den meisten Wolkenkratzern Deutschlands der Stadt den Spitznamen â€žMainhattanâ€œ.</t>
  </si>
  <si>
    <t>Wiesbaden â€“ Kurhaus</t>
  </si>
  <si>
    <t>Wiesbaden gilt seit dem 19. Jahrhundert als mondÃ¤ne Kurstadt. Das neoklassizistische Kurhaus von 1907, Thermalquellen und weitlÃ¤ufige Kurparks spiegeln bis heute die historische Wellness-Kultur wider.</t>
  </si>
  <si>
    <t>Mainz â€“ Gutenberg-Museum</t>
  </si>
  <si>
    <t>Johannes Gutenberg revolutionierte um 1450 in Mainz den Buchdruck mit beweglichen Lettern. Das Gutenberg-Museum zeigt u. a. zwei Gutenberg-Bibeln und demonstriert an historischen Pressen die Technik, die das Lesen weltweit verÃ¤nderte.</t>
  </si>
  <si>
    <t>RÃ¼desheim â€“ Drosselgasse</t>
  </si>
  <si>
    <t>Die Drosselgasse in RÃ¼desheim ist eine 144 Meter lange Fachwerkgasse voller Weinstuben. Ihre Weinfeste mit Live-Musik reprÃ¤sentieren die gesellige Rheingauer Weinkultur.</t>
  </si>
  <si>
    <t>WÃ¶llstein â€“ Geburtsort</t>
  </si>
  <si>
    <t>Helene Fischer (*1984) wuchs in WÃ¶llstein auf und wurde zur erfolgreichsten deutschen SchlagersÃ¤ngerin. Hits wie â€žAtemlos durch die Nachtâ€œ und zahlreiche Auszeichnungen prÃ¤gen ihre Karriere.</t>
  </si>
  <si>
    <t>St. Goar â€“ Loreleyfelsen</t>
  </si>
  <si>
    <t>Boppard â€“ Rheinschleife</t>
  </si>
  <si>
    <t>An der Rheinschleife bei Boppard wachsen auf steilen SchieferhÃ¤ngen Riesling-Reben. Der Bopparder Hamm dokumentiert seit Jahrhunderten die Weinbautradition des Mittelrheins.</t>
  </si>
  <si>
    <t>Koblenz â€“ Deutsches Eck</t>
  </si>
  <si>
    <t>Am Deutschen Eck flieÃŸen Mosel und Rhein zusammen. Das Reiterstandbild Kaiser Wilhelms I. (1897) erinnert an die ReichsgrÃ¼ndung und wurde nach 1945 zum Symbol der deutschen Einheit.</t>
  </si>
  <si>
    <t>NÃ¼rburgring â€“ GP-Strecke</t>
  </si>
  <si>
    <t>Deutschlands Autobahnen sind fÃ¼r fehlende Tempolimits bekannt. Auf der Nordschleife des NÃ¼rburgrings kÃ¶nnen Fahrer Hochgeschwindigkeit legal erleben â€“ ein kontrolliertes Pendant zum Autobahnrausch.</t>
  </si>
  <si>
    <t>Bonn â€“ Beethoven-Haus</t>
  </si>
  <si>
    <t>Ludwig van Beethoven (1770â€“1827) wurde in Bonn geboren. Sein Geburtshaus bewahrt Originalinstrumente und Handschriften des Komponisten, dessen Werke die klassische Musik bis heute prÃ¤gen.</t>
  </si>
  <si>
    <t>KÃ¶lner Karneval</t>
  </si>
  <si>
    <t>KÃ¶ln â€“ Alter Markt</t>
  </si>
  <si>
    <t>Der KÃ¶lner Karneval, seit 1823 organisiert, verwandelt die Stadt vom 11. 11. bis Aschermittwoch in ein buntes Volksfest. HÃ¶hepunkt ist der Rosenmontagszug mit Hunderttausenden kostÃ¼mierten Jecken.</t>
  </si>
  <si>
    <t>KÃ¶ln â€“ Adenauer-Haus</t>
  </si>
  <si>
    <t>Konrad Adenauer (1876â€“1967) war KÃ¶lner OberbÃ¼rgermeister und erster Bundeskanzler der Bundesrepublik. Sein Wohnhaus in RhÃ¶ndorf erzÃ¤hlt von seinem Einsatz fÃ¼r Wiederaufbau und Westbindung.</t>
  </si>
  <si>
    <t>Mettmann â€“ Neanderthal Museum</t>
  </si>
  <si>
    <t>Der 1856 gefundene Neandertaler-SchÃ¤del revolutionierte das VerstÃ¤ndnis menschlicher Evolution. Das Neanderthal Museum veranschaulicht die Geschichte unserer fossilen Verwandten.</t>
  </si>
  <si>
    <t>DÃ¼sseldorf â€“ Rheinturm</t>
  </si>
  <si>
    <t>DÃ¼sseldorf verbindet Altstadt, Mode- und Messekultur mit moderner Architektur im Medienhafen. Der Rheinturm bietet einen Panoramablick auf die Rheinmetropole und ihre Kunst- und Shopping-Szene.</t>
  </si>
  <si>
    <t>Duisburg â€“ Innenhafen</t>
  </si>
  <si>
    <t>Der Duisburger Innenhafen, einst Speicher- und Handelshafen, wurde zum Kultur- und BÃ¼roquartier umgestaltet. Restaurierte Speicher und Museen zeigen den erfolgreichen Strukturwandel von Stahl zu Kultur.</t>
  </si>
  <si>
    <t>Essen â€“ Zeche Zollverein</t>
  </si>
  <si>
    <t>Essen â€“ Kokerei Zollverein</t>
  </si>
  <si>
    <t>Die Kokerei Zollverein verarbeitete bis 1993 Kohle zu Koks und ist heute Teil des Weltkulturerbes. Besucher erkunden FÃ¶rdertÃ¼rme, Ã–fen und Aussichtsplattformen eines herausragenden Industriedenkmals.</t>
  </si>
  <si>
    <t>FuÃŸball Bundesliga</t>
  </si>
  <si>
    <t>Dortmund â€“ Signal Iduna Park</t>
  </si>
  <si>
    <t>Borussia Dortmunds Stadion mit der legendÃ¤ren â€žGelben Wandâ€œ steht fÃ¼r die Fankultur der FuÃŸball-Bundesliga, die seit 1963 Millionen begeistert.</t>
  </si>
  <si>
    <t>WestfÃ¤lische Fachwerkstadt</t>
  </si>
  <si>
    <t>MÃ¼nster â€“ Prinzipalmarkt</t>
  </si>
  <si>
    <t>MÃ¼nsters Prinzipalmarkt mit GiebelhÃ¤usern und Arkaden, Rathaus und Lambertikirche vereint mittelalterliche Baukunst und Wiederaufbau. FahrrÃ¤der und Friedensgeschichte prÃ¤gen das Stadtbild.</t>
  </si>
  <si>
    <t>Bielefeld â€“ Sparrenburg</t>
  </si>
  <si>
    <t>Die mittelalterliche Sparrenburg Ã¼berragt Bielefeld am Rand des Teutoburger Waldes, der durch die Varusschlacht (9 n. Chr.) historisch bekannt ist.</t>
  </si>
  <si>
    <t>Hannover â€“ Neues Rathaus</t>
  </si>
  <si>
    <t>Hannovers wilhelminisches Neues Rathaus (1913) symbolisiert den Wiederaufbau der Stadt, die heute Messestandort und grÃ¼ne GroÃŸstadt mit den HerrenhÃ¤user GÃ¤rten ist.</t>
  </si>
  <si>
    <t>Hannover â€“ H.-Arendt-Platz</t>
  </si>
  <si>
    <t>Die politische Theoretikerin Hannah Arendt (1906â€“1975) wurde in Hannover geboren. Der Hannah-Arendt-Platz mahnt an Demokratie, Freiheit und Verantwortung.</t>
  </si>
  <si>
    <t>Hannover â€“ Expo-Park</t>
  </si>
  <si>
    <t>Hannover â€“ Herrenhausen</t>
  </si>
  <si>
    <t>Das rekonstruierte Schloss Herrenhausen liegt inmitten der berÃ¼hmten barocken HerrenhÃ¤user GÃ¤rten mit Wasserspielen und Botanischem Berggarten.</t>
  </si>
  <si>
    <t>Braunschweig â€“ Schloss</t>
  </si>
  <si>
    <t>Die Fassade des im Krieg zerstÃ¶rten Welfenschlosses wurde 2007 vor ein modernes Einkaufs- und Kulturzentrum gesetzt â€“ ein Beispiel fÃ¼r Tradition im neuen Gewand.</t>
  </si>
  <si>
    <t>Wolfsburg â€“ Phaeno</t>
  </si>
  <si>
    <t>Das von Zaha Hadid entworfene Phaeno Science Center inszeniert NaturphÃ¤nomene interaktiv. Es ergÃ¤nzt Wolfsburgs Autostadt und die VW-Historie um Wissenschaftserlebnisse.</t>
  </si>
  <si>
    <t>Volkswagen-GrÃ¼ndung</t>
  </si>
  <si>
    <t>Wolfsburg â€“ Autostadt</t>
  </si>
  <si>
    <t>1938 als Standort fÃ¼r den VW-KÃ¤fer gegrÃ¼ndet, erzÃ¤hlt Wolfsburgs Autostadt mit Pavillons und Oldtimern die Geschichte des Konzerns und des Automobils.</t>
  </si>
  <si>
    <t>Goslar â€“ Altstadt</t>
  </si>
  <si>
    <t>UniversitÃ¤tsstadt</t>
  </si>
  <si>
    <t>GÃ¶ttingen â€“ GÃ¤nseliesel</t>
  </si>
  <si>
    <t>Seit 1737 prÃ¤gt die UniversitÃ¤t GÃ¶ttingen die Stadt. Der GÃ¤nseliesel-Brunnen gilt als â€žmeistgekÃ¼sstes MÃ¤dchen der Weltâ€œ, denn frisch promovierte Doktoranden kÃ¼ssen die Statue.</t>
  </si>
  <si>
    <t>BrÃ¼der Grimm</t>
  </si>
  <si>
    <t>Kassel â€“ Grimm-Museum</t>
  </si>
  <si>
    <t>In Kassel sammelten Jacob und Wilhelm Grimm ihre weltberÃ¼hmten MÃ¤rchen. Die Grimmwelt prÃ¤sentiert Manuskripte und sprachwissenschaftliches Erbe.</t>
  </si>
  <si>
    <t>Kassel â€“ Friedrichsplatz</t>
  </si>
  <si>
    <t>Die alle fÃ¼nf Jahre stattfindende documenta macht Kassel zur Welthauptstadt zeitgenÃ¶ssischer Kunst und verwandelt die Stadt in ein riesiges Open-Air-Museum.</t>
  </si>
  <si>
    <t>Kassel â€“ Bergpark WilhelmshÃ¶he</t>
  </si>
  <si>
    <t>Europas grÃ¶ÃŸter Hangpark mit Herkules-Statue und barocken Wasserspielen ist UNESCO-Welterbe und Zeugnis landgrÃ¤flicher Gartenkunst.</t>
  </si>
  <si>
    <t>Eisenach â€“ Wartburg</t>
  </si>
  <si>
    <t>1817 forderten Studenten auf der Wartburg nationale Einheit und Freiheitsrechte. Die Burg ist auch durch Luthers BibelÃ¼bersetzung berÃ¼hmt.</t>
  </si>
  <si>
    <t>Erfurt â€“ Dom</t>
  </si>
  <si>
    <t>Der gotische Erfurter Dom beherbergt die Gloriosa, grÃ¶ÃŸte freischwingende mittelalterliche Glocke. Hier wurde Martin Luther 1507 zum Priester geweiht.</t>
  </si>
  <si>
    <t>Weimar â€“ Goethe-Haus</t>
  </si>
  <si>
    <t>Goethes Wohnhaus zeigt originale RÃ¤ume und Sammlungen des Dichters, der mit Schiller die Weimarer Klassik prÃ¤gte.</t>
  </si>
  <si>
    <t>Weimar â€“ DNT</t>
  </si>
  <si>
    <t>Die Geldentwertung der Weimarer Republik erreichte 1923 ihren HÃ¶hepunkt: Preise explodierten, Ersparnisse verfielen â€“ ein Trauma deutscher Wirtschaftsgeschichte.</t>
  </si>
  <si>
    <t>ThÃ¼ringer Wald â€“ Rennsteig</t>
  </si>
  <si>
    <t>Der 170 km lange Rennsteig-Kammweg ist Ã¤ltester Fernwanderweg Deutschlands und verbindet Kultur- und Naturlandschaften des ThÃ¼ringer Waldes.</t>
  </si>
  <si>
    <t>Lauscha â€“ GlasblÃ¤serwerkstatt</t>
  </si>
  <si>
    <t>Lauscha gilt als Geburtsort der glÃ¤sernen Christbaumkugel. Seit 1597 pflegen Familienbetriebe hier die Kunst des Glasblasens.</t>
  </si>
  <si>
    <t>Coburg â€“ Veste Coburg</t>
  </si>
  <si>
    <t>Die Veste Coburg, eine der grÃ¶ÃŸten Burgen Deutschlands, beherbergt Kunstsammlungen und war 1530 Luther-Fluchtort.</t>
  </si>
  <si>
    <t>Kulmbach â€“ MÃ¶nchshof</t>
  </si>
  <si>
    <t>Kulmbach prÃ¤sentiert im Bayerischen Brauereimuseum Starkbier- und Eisbock-Tradition und feiert jÃ¤hrlich die Bierwoche.</t>
  </si>
  <si>
    <t>Kulmbach â€“ Brauerei</t>
  </si>
  <si>
    <t>FrÃ¤nkische Braukunst mit Reinheitsgebot: Kulmbacher Starkbiere genieÃŸen internationalen Ruf und prÃ¤gen lokale IdentitÃ¤t.</t>
  </si>
  <si>
    <t>Bayreuth â€“ Opernhaus</t>
  </si>
  <si>
    <t>Das MarkgrÃ¤fliche Opernhaus (1748) ist ein vollstÃ¤ndig erhaltenes Barocktheater und UNESCO-Welterbe â€“ ein Juwel hÃ¶fischer Festkultur.</t>
  </si>
  <si>
    <t>Bayreuth â€“ Festspielhaus</t>
  </si>
  <si>
    <t>Das 1876 erÃ¶ffnete Festspielhaus, akustisch auf Wagners Musikdramen ausgelegt, zieht Opernliebhaber aus aller Welt zu den Bayreuther Festspielen.</t>
  </si>
  <si>
    <t>FrÃ¤nkische Schweiz</t>
  </si>
  <si>
    <t>Pottenstein â€“ TeufelshÃ¶hle</t>
  </si>
  <si>
    <t>Die zerklÃ¼ftete Karstlandschaft mit TropfsteinhÃ¶hlen und Burgruinen ist seit dem 19. Jh. ein beliebtes Wander- und Klettergebiet.</t>
  </si>
  <si>
    <t>Bamberg â€“ Altstadt</t>
  </si>
  <si>
    <t>Bambergs sieben-hÃ¼gelige Altstadt mit romanischem Dom und Rathaus in der Regnitz gilt als grÃ¶ÃŸtes unzerstÃ¶rtes historisches Stadtbild Deutschlands.</t>
  </si>
  <si>
    <t>NÃ¼rnberg â€“ Hauptmarkt</t>
  </si>
  <si>
    <t>Der NÃ¼rnberger Christkindlesmarkt, seit dem 16. Jh. belegt, lockt mit Lebkuchen und Holzspielzeug jÃ¤hrlich zwei Millionen Besucher.</t>
  </si>
  <si>
    <t>NÃ¼rnberg â€“ Memorium</t>
  </si>
  <si>
    <t>Das Memorium NÃ¼rnberger Prozesse erinnert in Saal 600 an die juristische Aufarbeitung der NS-Verbrechen und die Geburtsstunde des VÃ¶lkerstrafrechts.</t>
  </si>
  <si>
    <t>Ingolstadt â€“ Herzogskasten</t>
  </si>
  <si>
    <t>1516 verkÃ¼ndeten bayerische HerzÃ¶ge in Ingolstadt das Reinheitsgebot: Bier darf nur aus Wasser, Gerste, Hopfen bestehen â€“ Ã¤lteste Lebensmittelvorschrift der Welt.</t>
  </si>
  <si>
    <t>FuÃŸball Allianz Arena</t>
  </si>
  <si>
    <t>MÃ¼nchen â€“ Allianz Arena</t>
  </si>
  <si>
    <t>Die 2005 erÃ¶ffnete Allianz Arena mit lichtÂ­durchÂ­lÃ¤ssiger AuÃŸenhaut ist Heim des FC Bayern und eines der markantesten Stadien Europas.</t>
  </si>
  <si>
    <t>MÃ¼nchen â€“ Olympiapark</t>
  </si>
  <si>
    <t>Die Spiele von 1972 setzten mit ihrer Zeltdach-Architektur neue MaÃŸstÃ¤be; das Attentat auf die israelische Mannschaft prÃ¤gte die Erinnerung an das moderne Areal.</t>
  </si>
  <si>
    <t>MÃ¼nchen â€“ LMU</t>
  </si>
  <si>
    <t>Sophie Scholl verteilte 1943 FlugblÃ¤tter der â€žWeiÃŸen Roseâ€œ an der LMU. Heute mahnen Gedenktafeln an ihren mutigen Widerstand gegen das NS-Regime.</t>
  </si>
  <si>
    <t>MÃ¼nchen â€“ Theresienwiese</t>
  </si>
  <si>
    <t>Seit 1810 feiert MÃ¼nchen das Oktoberfest. Riesige Bierzelte, FahrgeschÃ¤fte und Trachten ziehen jÃ¤hrlich Millionen Besucher an.</t>
  </si>
  <si>
    <t>Schwangau â€“ Neuschwanstein</t>
  </si>
  <si>
    <t>KÃ¶nig Ludwigs MÃ¤rchenschloss (ab 1869) verkÃ¶rpert romantischen Historismus in alpiner Kulisse und diente als Vorbild fÃ¼r das Disney-Schloss.</t>
  </si>
  <si>
    <t>Friedrichshafen â€“ Zeppelin Museum</t>
  </si>
  <si>
    <t>Hier startete 1900 der erste Zeppelin der Welt. Das Museum zeigt Exponate zur LuftschiffÃ¤ra, darunter ein TeilstÃ¼ck der â€žHindenburgâ€œ.</t>
  </si>
  <si>
    <t>Ulm â€“ Einstein-Brunnen</t>
  </si>
  <si>
    <t>Albert Einstein, 1879 in Ulm geboren, revolutionierte mit RelativitÃ¤ts- und Quantentheorie die Physik. Der Brunnen erinnert an das Genie.</t>
  </si>
  <si>
    <t>Stuttgart â€“ Wasen</t>
  </si>
  <si>
    <t>Das Cannstatter Volksfest (seit 1818) ist nach dem Oktoberfest das zweitgrÃ¶ÃŸte deutsche Bier- und Volksfest und zieht jÃ¤hrlich rund vier Millionen GÃ¤ste an.</t>
  </si>
  <si>
    <t>Heidelberg â€“ Schloss</t>
  </si>
  <si>
    <t>Die romantische Schlossruine Ã¼ber dem Neckar war Residenz der KurfÃ¼rsten. Ihre Renaissance-Fassaden und das GroÃŸe Fass begeisterten schon Goethe.</t>
  </si>
  <si>
    <t>Mannheim â€“ Carl-Benz-Haus</t>
  </si>
  <si>
    <t>Carl Benz baute 1885/86 in Mannheim den ersten praxistauglichen Motorwagen. Bertha Benzâ€™ erste Fernfahrt bewies seine Alltagstauglichkeit.</t>
  </si>
  <si>
    <t>WÃ¼rzburg â€“ Residenz</t>
  </si>
  <si>
    <t>Die WÃ¼rzburger Residenz (1720â€“1744) mit Tiepolo-Fresko und Spiegelsaal gilt als Hauptwerk des sÃ¼ddeutschen Barock und ist UNESCO-Welterbe.</t>
  </si>
  <si>
    <t>SchwarzwÃ¤lder Kirschtorte</t>
  </si>
  <si>
    <t>Triberg â€“ CafÃ© SchÃ¤fer</t>
  </si>
  <si>
    <t>Im Schwarzwald entstand die Sahne-Schokoladen-Kirschtorte mit Kirschwasser. Das CafÃ© SchÃ¤fer serviert sie nach historischem Rezept.</t>
  </si>
  <si>
    <t>Aachen â€“ Dom</t>
  </si>
  <si>
    <t>Karls Pfalzkapelle (8./9. Jh.) und gotischer Chor sind erstes deutsches UNESCO-Welterbe. Ãœber 30 deutsche KÃ¶nige wurden hier gekrÃ¶nt.</t>
  </si>
  <si>
    <t>Aachen â€“ Dombezirk</t>
  </si>
  <si>
    <t>Der Aachener Domschatz mit Karlsschrein und Marienschrein zÃ¤hlt zu den bedeutendsten KirchenschÃ¤tzen Europas und ergÃ¤nzt den Weltkulturerbe-Dom.</t>
  </si>
  <si>
    <t>Eisleben â€“ GedenkstÃ¤tten</t>
  </si>
  <si>
    <t>Luthers Geburts- und SterbehÃ¤user in Eisleben sind UNESCO-Welterbe und dokumentieren Leben und Wirkung des Reformators.</t>
  </si>
  <si>
    <t>ArchitekturÂ­moderne</t>
  </si>
  <si>
    <t>Dessau â€“ MeisterhÃ¤user</t>
  </si>
  <si>
    <t>Die MeisterhÃ¤user (1925/26) von Gropius fÃ¼r Bauhaus-Lehrer wie Kandinsky reprÃ¤sentieren funktionale Bauhaus-Architektur im Originalzustand.</t>
  </si>
  <si>
    <t>Bauhaus-GrÃ¼ndung</t>
  </si>
  <si>
    <t>Dessau â€“ Bauhaus</t>
  </si>
  <si>
    <t>Das BauhausgebÃ¤ude (1926) mit Glasfassade steht fÃ¼r die Verschmelzung von Kunst, Handwerk und Industrie â€“ ein Meilenstein der Moderne.</t>
  </si>
  <si>
    <t>Lutherstadt Wittenberg â€“ Schlosskirche</t>
  </si>
  <si>
    <t>Luthers 95 Thesen von 1517 an der Schlosskirche lÃ¶sten die Reformation aus und verÃ¤nderten Kirche und Gesellschaft nachhaltig.</t>
  </si>
  <si>
    <t>Leipzig â€“ Moritzbastei</t>
  </si>
  <si>
    <t>Die Leipziger Jazztage (seit 1976) holen internationale JazzgrÃ¶ÃŸen in historische SpielstÃ¤tten wie die unterirdische Moritzbastei.</t>
  </si>
  <si>
    <t>Leipzig â€“ Bach-Museum</t>
  </si>
  <si>
    <t>VÃ¶lkerschlacht 1813</t>
  </si>
  <si>
    <t>Leipzig â€“ Denkmal</t>
  </si>
  <si>
    <t>Das 91 Meter hohe VÃ¶lkerschlachtdenkmal erinnert an Napoleons Niederlage in der grÃ¶ÃŸten Schlacht vor dem Ersten Weltkrieg.</t>
  </si>
  <si>
    <t>MeiÃŸen Porzellan</t>
  </si>
  <si>
    <t>MeiÃŸen â€“ Porzellanmuseum</t>
  </si>
  <si>
    <t>1710 entstand in MeiÃŸen das erste europÃ¤ische Hartporzellan. Das Museum zeigt MeisterstÃ¼cke mit den gekreuzten Schwertern.</t>
  </si>
  <si>
    <t>Berlin â€“ Dt. Technikmuseum</t>
  </si>
  <si>
    <t>Das Technikmuseum prÃ¤sentiert Lokomotiven, Schiffe und einen â€žRosinenbomberâ€œ auf dem Dach â€“ Technikgeschichte zum Anfassen.</t>
  </si>
  <si>
    <t>PreuÃŸische Pracht</t>
  </si>
  <si>
    <t>Potsdam â€“ Schloss Sanssouci</t>
  </si>
  <si>
    <t>Friedrich der GroÃŸe lieÃŸ Sanssouci (1747) als Rokoko-Sommerresidenz Ã¼ber Weinbergterrassen erbauen; Park und SchlÃ¶sser sind UNESCO-Welterbe.</t>
  </si>
  <si>
    <t>Potsdam â€“ Filmpark Babelsberg</t>
  </si>
  <si>
    <t>Die Babelsberger Studios (ab 1912) sind Wiege des deutschen Films. Der Filmpark gewÃ¤hrt Einblicke in Kulissen, Stunts und Tricktechnik.</t>
  </si>
  <si>
    <t>Berliner LuftbrÃ¼cke</t>
  </si>
  <si>
    <t>Berlin â€“ Tempelhof</t>
  </si>
  <si>
    <t>1948/49 versorgten Rosinenbomber den blockierten Westteil der Stadt Ã¼ber den Flughafen Tempelhof â€“ ein Symbol westlicher SolidaritÃ¤t.</t>
  </si>
  <si>
    <t>Berlin â€“ Checkpoint Charlie</t>
  </si>
  <si>
    <t>Der bekannteste Berliner GrenzÃ¼bergang war Schauplatz brisanter Panzerkonfrontationen zwischen USA und UdSSR im Oktober 1961.</t>
  </si>
  <si>
    <t>Berlin â€“ Brandenburger Tor</t>
  </si>
  <si>
    <t>Berlin â€“ Berghain</t>
  </si>
  <si>
    <t>Der Club Berghain in einem ehemaligen Kraftwerk gilt als Mekka des Techno: kompromisslose TÃ¼rpolitik und erstklassiger Sound erzeugen Kultstatus.</t>
  </si>
  <si>
    <t>Berlin â€“ East Side Gallery</t>
  </si>
  <si>
    <t>Die bemalten 1,3 km Mauerreste zeigen Ã¼ber 100 Murals, die Freude Ã¼ber die friedliche Revolution von 1989 ausdrÃ¼cken.</t>
  </si>
  <si>
    <t>FÃ¼rstenberg/Havel â€“ Schloss</t>
  </si>
  <si>
    <t>Schloss FÃ¼rstenberg liegt in einer seen- und waldreichen Parklandschaft Nordbrandenburgs und spiegelt adlige Kultur in naturnaher Umgebung.</t>
  </si>
  <si>
    <t>Rheinsberg â€“ Schloss</t>
  </si>
  <si>
    <t>Schloss Rheinsberg am Grienericksee, einst Residenz Friedrichs des GroÃŸen, reprÃ¤sentiert die idyllischen Seen des Ruppiner Landes.</t>
  </si>
  <si>
    <t>MÃ¼ritzeum</t>
  </si>
  <si>
    <t>Waren â€“ MÃ¼ritzeum</t>
  </si>
  <si>
    <t>Deutschlands grÃ¶ÃŸtes SÃ¼ÃŸwasseraquarium informiert im MÃ¼ritzeum Ã¼ber Flora und Fauna der Mecklenburgischen Seenplatte.</t>
  </si>
  <si>
    <t>Rostock â€“ Alter Strom</t>
  </si>
  <si>
    <t>WarnemÃ¼ndes Alter Strom zeigt mit Fischerbooten und KapitÃ¤nshÃ¤usern die maritime Tradition der Hansestadt Rostock.</t>
  </si>
  <si>
    <t>Ahrenshoop â€“ KÃ¼nstlerkolonie</t>
  </si>
  <si>
    <t>Das ehemalige Fischerdorf Ahrenshoop wurde ab 1890 zur KÃ¼nstlerkolonie; ReetdÃ¤cher und Ostseelicht inspirieren Maler bis heute.</t>
  </si>
  <si>
    <t>Stralsund â€“ Altstadt</t>
  </si>
  <si>
    <t>Greifswald â€“ Dom</t>
  </si>
  <si>
    <t>Der Dom St. Nikolai (13. Jh.) dominiert Greifswalds Silhouette und verkÃ¶rpert norddeutsche Backsteingotik und Hanse-Reichtum.</t>
  </si>
  <si>
    <t>RÃ¼gen â€“ KreidekÃ¼ste</t>
  </si>
  <si>
    <t>Die weiÃŸen Kreidefelsen und alten BuchenwÃ¤lder des Nationalparks Jasmund sind UNESCO-Weltnaturerbe und Inspiration romantischer Maler.</t>
  </si>
  <si>
    <t>KaiserbÃ¤der Usedom</t>
  </si>
  <si>
    <t>Usedom â€“ KaiserbÃ¤der</t>
  </si>
  <si>
    <t>Ahlbeck, Heringsdorf, Bansin lockten seit 1900 mit SeebrÃ¼cken und BÃ¤derarchitektur das Berliner BÃ¼rgertum an die Ostsee.</t>
  </si>
  <si>
    <t>Wismar â€“ Altstadt</t>
  </si>
  <si>
    <t>GiebelhÃ¤user, Wasserkunst und Backsteinkirchen bezeugen Wismars Hanse-Vergangenheit und machten die Altstadt zum Weltkulturerbe.</t>
  </si>
  <si>
    <t>Schwerin â€“ Schloss</t>
  </si>
  <si>
    <t>Das romantische Insel-Schloss mit TÃ¼rmen und goldenem Turmhelm ist Sitz des Landtags Mecklenburg-Vorpommerns und ein MÃ¤rchenmotiv.</t>
  </si>
  <si>
    <t>LÃ¼beck â€“ Holstentor</t>
  </si>
  <si>
    <t>Das spÃ¤tgotische Holstentor (1464â€“1478) mit ZwillingsÂ­tÃ¼rmen ist LÃ¼becks Wahrzeichen und erinnert an die BlÃ¼te der Hanse.</t>
  </si>
  <si>
    <t>Hamburg â€“ Michel</t>
  </si>
  <si>
    <t>Der barocke Michel mit 132 m Turm bietet Seefahrern Orientierung und Hamburgern ein identitÃ¤tsstiftendes Wahrzeichen.</t>
  </si>
  <si>
    <t>Hamburg â€“ Elbphilharmonie</t>
  </si>
  <si>
    <t>Das 2017 erÃ¶ffnete Konzerthaus kombiniert modernen Glaswellenbau auf historischem Kaispeicher und setzt akustische MaÃŸstÃ¤be.</t>
  </si>
  <si>
    <t>Hamburg â€“ LandungsbrÃ¼cken</t>
  </si>
  <si>
    <t>Europas grÃ¶ÃŸtes Hafenfest feiert seit 1189 die Hamburger Schifffahrt mit Ein- und Auslaufparaden von Segel- bis Kreuzfahrtschiffen.</t>
  </si>
  <si>
    <t>Hamburg â€“ St. Pauli</t>
  </si>
  <si>
    <t>St. Paulis Reeperbahn ist weltberÃ¼hmtes VergnÃ¼gungs- und Rotlichtviertel, wo in den 1960ern die Beatles ihren Durchbruch hatten.</t>
  </si>
  <si>
    <t>Kiel â€“ Wunderino Arena</t>
  </si>
  <si>
    <t>THW Kiel, vielfacher deutscher und Champions-League-Sieger, sorgt in der Wunderino Arena fÃ¼r Handball-AtmosphÃ¤re auf Weltklasseniveau.</t>
  </si>
  <si>
    <t>Kiel â€“ HÃ¶rn</t>
  </si>
  <si>
    <t>Seit 1882 ist die Kieler Woche das grÃ¶ÃŸte Segelereignis der Welt; Regatten und maritimes Volksfest beleben eine Woche lang die FÃ¶rde.</t>
  </si>
  <si>
    <t>Kiel â€“ Max-Planck-Schule</t>
  </si>
  <si>
    <t>Der in Kiel geborene Physiker Max Planck (1858â€“1947) begrÃ¼ndete mit seiner Quantentheorie die moderne Physik.</t>
  </si>
  <si>
    <t>Westerland â€“ Strandpromenade</t>
  </si>
  <si>
    <t>Sylt vereint Kurtradition, endlose SandstrÃ¤nde und Prominentenflair; StrandkÃ¶rbe und ReetdÃ¶rfer prÃ¤gen Deutschlands bekannteste Nordseeinsel.</t>
  </si>
  <si>
    <t>Magdeburg â€“ Kunstmuseum</t>
  </si>
  <si>
    <t>Das Kunstmuseum im Kloster Unser Lieben Frauen verbindet romanische Architektur mit internationaler Gegenwartskunst â€“ Symbol des modernen Magdeburg.</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</si>
</sst>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rgb="FFB4C6E7"/>
          <bgColor rgb="FFB4C6E7"/>
        </patternFill>
      </fill>
      <border/>
    </dxf>
  </dxfs>
  <tableStyles count="2">
    <tableStyle count="3" pivot="0" name="Tabelle3-style">
      <tableStyleElement dxfId="1" type="headerRow"/>
      <tableStyleElement dxfId="2" type="firstRowStripe"/>
      <tableStyleElement dxfId="3" type="secondRowStripe"/>
    </tableStyle>
    <tableStyle count="3" pivot="0" name="Tabelle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G101"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Tabelle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F101" displayName="Table_2" name="Table_2" id="2">
  <tableColumns count="6">
    <tableColumn name="Nr" id="1"/>
    <tableColumn name="Station" id="2"/>
    <tableColumn name="Ort" id="3"/>
    <tableColumn name="Latitude" id="4"/>
    <tableColumn name="Longitude" id="5"/>
    <tableColumn name="ErklÃ¤rung" id="6"/>
  </tableColumns>
  <tableStyleInfo name="Tabelle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26.0"/>
    <col customWidth="1" min="3" max="3" width="36.0"/>
    <col customWidth="1" min="4" max="4" width="10.57"/>
    <col customWidth="1" min="5" max="5" width="12.14"/>
    <col customWidth="1" min="6" max="6" width="81.14"/>
    <col customWidth="1" min="7" max="26" width="10.71"/>
  </cols>
  <sheetData>
    <row r="1">
      <c r="A1" s="1" t="s">
        <v>0</v>
      </c>
      <c r="B1" s="1" t="s">
        <v>1</v>
      </c>
      <c r="C1" s="1" t="s">
        <v>2</v>
      </c>
      <c r="D1" s="1" t="s">
        <v>3</v>
      </c>
      <c r="E1" s="1" t="s">
        <v>4</v>
      </c>
      <c r="F1" s="1" t="s">
        <v>5</v>
      </c>
      <c r="G1" s="1"/>
    </row>
    <row r="2">
      <c r="A2" s="1">
        <v>1.0</v>
      </c>
      <c r="B2" s="1" t="s">
        <v>6</v>
      </c>
      <c r="C2" s="1" t="s">
        <v>7</v>
      </c>
      <c r="D2" s="1">
        <v>501096.0</v>
      </c>
      <c r="E2" s="1">
        <v>86724.0</v>
      </c>
      <c r="F2" s="1" t="s">
        <v>8</v>
      </c>
      <c r="G2" s="1" t="str">
        <f>IFERROR(__xludf.DUMMYFUNCTION("GOOGLETRANSLATE(F2, ""de"", ""uk"")"),"Головна вежа у Франкфурті-на-Майні - це 200-метровий хмарочос із загальнодоступним оглядовим майданчиком. Висотка, яка була відкрита в 2000 році, формує горизонт Франкфурта своїм скляним фасадом і є однією з найвищих будівель у Німеччині; З висоти 198 мет"&amp;"рів відкривається панорамний вид на місто.")</f>
        <v>Головна вежа у Франкфурті-на-Майні - це 200-метровий хмарочос із загальнодоступним оглядовим майданчиком. Висотка, яка була відкрита в 2000 році, формує горизонт Франкфурта своїм скляним фасадом і є однією з найвищих будівель у Німеччині; З висоти 198 метрів відкривається панорамний вид на місто.</v>
      </c>
    </row>
    <row r="3">
      <c r="A3" s="1">
        <v>2.0</v>
      </c>
      <c r="B3" s="1" t="s">
        <v>9</v>
      </c>
      <c r="C3" s="1" t="s">
        <v>10</v>
      </c>
      <c r="D3" s="1">
        <v>501106.0</v>
      </c>
      <c r="E3" s="1">
        <v>86821.0</v>
      </c>
      <c r="F3" s="1" t="s">
        <v>11</v>
      </c>
      <c r="G3" s="1" t="str">
        <f>IFERROR(__xludf.DUMMYFUNCTION("GOOGLETRANSLATE(F3, ""de"", ""uk"")"),"Як фінансова столиця, Франкфурт-на-Майні є одним із найважливіших банківських центрів у Європі. Місто, де розташовані Європейський центральний банк і численні великі банки, з найбільшою кількістю хмарочосів у Німеччині, дає йому прізвисько «Мейнхеттен».")</f>
        <v>Як фінансова столиця, Франкфурт-на-Майні є одним із найважливіших банківських центрів у Європі. Місто, де розташовані Європейський центральний банк і численні великі банки, з найбільшою кількістю хмарочосів у Німеччині, дає йому прізвисько «Мейнхеттен».</v>
      </c>
    </row>
    <row r="4">
      <c r="A4" s="1">
        <v>3.0</v>
      </c>
      <c r="B4" s="1" t="s">
        <v>12</v>
      </c>
      <c r="C4" s="1" t="s">
        <v>13</v>
      </c>
      <c r="D4" s="1">
        <v>500826.0</v>
      </c>
      <c r="E4" s="1">
        <v>82435.0</v>
      </c>
      <c r="F4" s="1" t="s">
        <v>14</v>
      </c>
      <c r="G4" s="1" t="str">
        <f>IFERROR(__xludf.DUMMYFUNCTION("GOOGLETRANSLATE(F4, ""de"", ""uk"")"),"Вісбаден вважається витонченим курортним містом з 19 століття. Неокласичний курортний будинок 1907 року, термальні джерела та великі курортні парки все ще відображають історичну оздоровчу культуру сьогодні.")</f>
        <v>Вісбаден вважається витонченим курортним містом з 19 століття. Неокласичний курортний будинок 1907 року, термальні джерела та великі курортні парки все ще відображають історичну оздоровчу культуру сьогодні.</v>
      </c>
    </row>
    <row r="5">
      <c r="A5" s="1">
        <v>4.0</v>
      </c>
      <c r="B5" s="1" t="s">
        <v>15</v>
      </c>
      <c r="C5" s="1" t="s">
        <v>16</v>
      </c>
      <c r="D5" s="1">
        <v>499983.0</v>
      </c>
      <c r="E5" s="1">
        <v>82711.0</v>
      </c>
      <c r="F5" s="1" t="s">
        <v>17</v>
      </c>
      <c r="G5" s="1" t="str">
        <f>IFERROR(__xludf.DUMMYFUNCTION("GOOGLETRANSLATE(F5, ""de"", ""uk"")"),"Йоганн Гутенберг здійснив революцію в книгодрукуванні з рухомим шрифтом у Майнці близько 1450 року. Музей Гутенберга демонструє, серед іншого: дві Біблії Гутенберга та демонструє на історичних пресах технологію, яка змінила читання в усьому світі.")</f>
        <v>Йоганн Гутенберг здійснив революцію в книгодрукуванні з рухомим шрифтом у Майнці близько 1450 року. Музей Гутенберга демонструє, серед іншого: дві Біблії Гутенберга та демонструє на історичних пресах технологію, яка змінила читання в усьому світі.</v>
      </c>
    </row>
    <row r="6">
      <c r="A6" s="1">
        <v>5.0</v>
      </c>
      <c r="B6" s="1" t="s">
        <v>18</v>
      </c>
      <c r="C6" s="1" t="s">
        <v>19</v>
      </c>
      <c r="D6" s="1">
        <v>499992.0</v>
      </c>
      <c r="E6" s="1">
        <v>79433.0</v>
      </c>
      <c r="F6" s="1" t="s">
        <v>20</v>
      </c>
      <c r="G6" s="1" t="str">
        <f>IFERROR(__xludf.DUMMYFUNCTION("GOOGLETRANSLATE(F6, ""de"", ""uk"")"),"Дроссельгассе в Рюдесгаймі — це 144-метрова фахверкова алея, повна винних барів. Їхні винні фестивалі з живою музикою представляють товариську винну культуру Райнгау.")</f>
        <v>Дроссельгассе в Рюдесгаймі — це 144-метрова фахверкова алея, повна винних барів. Їхні винні фестивалі з живою музикою представляють товариську винну культуру Райнгау.</v>
      </c>
    </row>
    <row r="7">
      <c r="A7" s="1">
        <v>6.0</v>
      </c>
      <c r="B7" s="1" t="s">
        <v>21</v>
      </c>
      <c r="C7" s="1" t="s">
        <v>22</v>
      </c>
      <c r="D7" s="1">
        <v>49804.0</v>
      </c>
      <c r="E7" s="1">
        <v>7967.0</v>
      </c>
      <c r="F7" s="1" t="s">
        <v>23</v>
      </c>
      <c r="G7" s="1" t="str">
        <f>IFERROR(__xludf.DUMMYFUNCTION("GOOGLETRANSLATE(F7, ""de"", ""uk"")"),"Хелен Фішер (*1984) виросла у Велштайні і стала найуспішнішою німецькою поп-співачкою. Такі хіти, як «Breathless through the Night», і численні нагороди формують її кар'єру.")</f>
        <v>Хелен Фішер (*1984) виросла у Велштайні і стала найуспішнішою німецькою поп-співачкою. Такі хіти, як «Breathless through the Night», і численні нагороди формують її кар'єру.</v>
      </c>
    </row>
    <row r="8">
      <c r="A8" s="1">
        <v>7.0</v>
      </c>
      <c r="B8" s="1" t="s">
        <v>24</v>
      </c>
      <c r="C8" s="1" t="s">
        <v>25</v>
      </c>
      <c r="D8" s="1">
        <v>501389.0</v>
      </c>
      <c r="E8" s="1">
        <v>77089.0</v>
      </c>
      <c r="F8" s="1" t="s">
        <v>26</v>
      </c>
      <c r="G8" s="1" t="str">
        <f>IFERROR(__xludf.DUMMYFUNCTION("GOOGLETRANSLATE(F8, ""de"", ""uk"")"),"132-метрова скеля Лорелей на Рейні овіяна легендою: кажуть, що своїм співом русалка заманила човнярів до загибелі. Сьогодні оглядовий майданчик є частиною долини верхнього середнього Рейну, що входить до списку Всесвітньої спадщини ЮНЕСКО.")</f>
        <v>132-метрова скеля Лорелей на Рейні овіяна легендою: кажуть, що своїм співом русалка заманила човнярів до загибелі. Сьогодні оглядовий майданчик є частиною долини верхнього середнього Рейну, що входить до списку Всесвітньої спадщини ЮНЕСКО.</v>
      </c>
    </row>
    <row r="9">
      <c r="A9" s="1">
        <v>8.0</v>
      </c>
      <c r="B9" s="1" t="s">
        <v>27</v>
      </c>
      <c r="C9" s="1" t="s">
        <v>28</v>
      </c>
      <c r="D9" s="1">
        <v>501172.0</v>
      </c>
      <c r="E9" s="1">
        <v>76071.0</v>
      </c>
      <c r="F9" s="1" t="s">
        <v>29</v>
      </c>
      <c r="G9" s="1" t="str">
        <f>IFERROR(__xludf.DUMMYFUNCTION("GOOGLETRANSLATE(F9, ""de"", ""uk"")"),"Виноградники рислінгу ростуть на крутих сланцевих схилах на петлі Рейну біля Боппарда. Bopparder Hamm задокументував традиції виноробства Середнього Рейну протягом століть.")</f>
        <v>Виноградники рислінгу ростуть на крутих сланцевих схилах на петлі Рейну біля Боппарда. Bopparder Hamm задокументував традиції виноробства Середнього Рейну протягом століть.</v>
      </c>
    </row>
    <row r="10">
      <c r="A10" s="1">
        <v>9.0</v>
      </c>
      <c r="B10" s="1" t="s">
        <v>30</v>
      </c>
      <c r="C10" s="1" t="s">
        <v>31</v>
      </c>
      <c r="D10" s="1">
        <v>503569.0</v>
      </c>
      <c r="E10" s="1">
        <v>75881.0</v>
      </c>
      <c r="F10" s="1" t="s">
        <v>32</v>
      </c>
      <c r="G10" s="1" t="str">
        <f>IFERROR(__xludf.DUMMYFUNCTION("GOOGLETRANSLATE(F10, ""de"", ""uk"")"),"Мозель і Рейн зливаються в Німецький Ек. Кінна статуя кайзера Вільгельма I (1897) вшановує заснування імперії та стала символом єдності Німеччини після 1945 року.")</f>
        <v>Мозель і Рейн зливаються в Німецький Ек. Кінна статуя кайзера Вільгельма I (1897) вшановує заснування імперії та стала символом єдності Німеччини після 1945 року.</v>
      </c>
    </row>
    <row r="11">
      <c r="A11" s="1">
        <v>10.0</v>
      </c>
      <c r="B11" s="1" t="s">
        <v>33</v>
      </c>
      <c r="C11" s="1" t="s">
        <v>34</v>
      </c>
      <c r="D11" s="1">
        <v>503341.0</v>
      </c>
      <c r="E11" s="1">
        <v>69476.0</v>
      </c>
      <c r="F11" s="1" t="s">
        <v>35</v>
      </c>
      <c r="G11" s="1" t="str">
        <f>IFERROR(__xludf.DUMMYFUNCTION("GOOGLETRANSLATE(F11, ""de"", ""uk"")"),"Автомагістралі Німеччини відомі тим, що на них немає обмежень швидкості. На Nordschleife Нюрбургрингу водії можуть легально їздити на високих швидкостях – контрольованому аналогі метушні на автомагістралі.")</f>
        <v>Автомагістралі Німеччини відомі тим, що на них немає обмежень швидкості. На Nordschleife Нюрбургрингу водії можуть легально їздити на високих швидкостях – контрольованому аналогі метушні на автомагістралі.</v>
      </c>
    </row>
    <row r="12">
      <c r="A12" s="1">
        <v>11.0</v>
      </c>
      <c r="B12" s="1" t="s">
        <v>36</v>
      </c>
      <c r="C12" s="1" t="s">
        <v>37</v>
      </c>
      <c r="D12" s="1">
        <v>507368.0</v>
      </c>
      <c r="E12" s="1">
        <v>7101.0</v>
      </c>
      <c r="F12" s="1" t="s">
        <v>38</v>
      </c>
      <c r="G12" s="1" t="str">
        <f>IFERROR(__xludf.DUMMYFUNCTION("GOOGLETRANSLATE(F12, ""de"", ""uk"")"),"Людвіг ван Бетховен (1770–1827) народився в Бонні. У будинку, де він народився, зберігаються оригінальні інструменти та рукописи композитора, твори якого продовжують формувати класичну музику сьогодні.")</f>
        <v>Людвіг ван Бетховен (1770–1827) народився в Бонні. У будинку, де він народився, зберігаються оригінальні інструменти та рукописи композитора, твори якого продовжують формувати класичну музику сьогодні.</v>
      </c>
    </row>
    <row r="13">
      <c r="A13" s="1">
        <v>12.0</v>
      </c>
      <c r="B13" s="1" t="s">
        <v>39</v>
      </c>
      <c r="C13" s="1" t="s">
        <v>40</v>
      </c>
      <c r="D13" s="1">
        <v>509403.0</v>
      </c>
      <c r="E13" s="1">
        <v>6957.0</v>
      </c>
      <c r="F13" s="1" t="s">
        <v>41</v>
      </c>
      <c r="G13" s="1" t="str">
        <f>IFERROR(__xludf.DUMMYFUNCTION("GOOGLETRANSLATE(F13, ""de"", ""uk"")"),"Кельнський карнавал, який організовується з 1823 року, перетворює місто на яскраве народне свято з 11 листопада до Попільної середи. Найважливішим моментом є парад Троянд у понеділок із сотнями тисяч костюмованих блазнів.")</f>
        <v>Кельнський карнавал, який організовується з 1823 року, перетворює місто на яскраве народне свято з 11 листопада до Попільної середи. Найважливішим моментом є парад Троянд у понеділок із сотнями тисяч костюмованих блазнів.</v>
      </c>
    </row>
    <row r="14">
      <c r="A14" s="1">
        <v>13.0</v>
      </c>
      <c r="B14" s="1" t="s">
        <v>42</v>
      </c>
      <c r="C14" s="1" t="s">
        <v>43</v>
      </c>
      <c r="D14" s="1">
        <v>509413.0</v>
      </c>
      <c r="E14" s="1">
        <v>69583.0</v>
      </c>
      <c r="F14" s="1" t="s">
        <v>44</v>
      </c>
      <c r="G14" s="1" t="str">
        <f>IFERROR(__xludf.DUMMYFUNCTION("GOOGLETRANSLATE(F14, ""de"", ""uk"")"),"Конрад Аденауер (1876–1967) був мером Кельна та першим канцлером Федеративної Республіки. Його дім у Рендорфі свідчить про його прагнення до реконструкції та зв’язки із Заходом.")</f>
        <v>Конрад Аденауер (1876–1967) був мером Кельна та першим канцлером Федеративної Республіки. Його дім у Рендорфі свідчить про його прагнення до реконструкції та зв’язки із Заходом.</v>
      </c>
    </row>
    <row r="15">
      <c r="A15" s="1">
        <v>14.0</v>
      </c>
      <c r="B15" s="1" t="s">
        <v>45</v>
      </c>
      <c r="C15" s="1" t="s">
        <v>46</v>
      </c>
      <c r="D15" s="1">
        <v>512275.0</v>
      </c>
      <c r="E15" s="1">
        <v>6937.0</v>
      </c>
      <c r="F15" s="1" t="s">
        <v>47</v>
      </c>
      <c r="G15" s="1" t="str">
        <f>IFERROR(__xludf.DUMMYFUNCTION("GOOGLETRANSLATE(F15, ""de"", ""uk"")"),"Знайдений у 1856 році череп неандертальця перевернув розуміння еволюції людини. Музей неандертальців ілюструє історію наших викопних родичів.")</f>
        <v>Знайдений у 1856 році череп неандертальця перевернув розуміння еволюції людини. Музей неандертальців ілюструє історію наших викопних родичів.</v>
      </c>
    </row>
    <row r="16">
      <c r="A16" s="1">
        <v>15.0</v>
      </c>
      <c r="B16" s="1" t="s">
        <v>48</v>
      </c>
      <c r="C16" s="1" t="s">
        <v>49</v>
      </c>
      <c r="D16" s="1">
        <v>512277.0</v>
      </c>
      <c r="E16" s="1">
        <v>67735.0</v>
      </c>
      <c r="F16" s="1" t="s">
        <v>50</v>
      </c>
      <c r="G16" s="1" t="str">
        <f>IFERROR(__xludf.DUMMYFUNCTION("GOOGLETRANSLATE(F16, ""de"", ""uk"")"),"Дюссельдорф поєднує старе місто, моду та культуру ярмарків із сучасною архітектурою в медіа-гавані. З Рейнської вежі відкривається панорамний вид на мегаполіс Рейну, його мистецтво та магазини.")</f>
        <v>Дюссельдорф поєднує старе місто, моду та культуру ярмарків із сучасною архітектурою в медіа-гавані. З Рейнської вежі відкривається панорамний вид на мегаполіс Рейну, його мистецтво та магазини.</v>
      </c>
    </row>
    <row r="17">
      <c r="A17" s="1">
        <v>16.0</v>
      </c>
      <c r="B17" s="1" t="s">
        <v>51</v>
      </c>
      <c r="C17" s="1" t="s">
        <v>52</v>
      </c>
      <c r="D17" s="1">
        <v>514344.0</v>
      </c>
      <c r="E17" s="1">
        <v>67573.0</v>
      </c>
      <c r="F17" s="1" t="s">
        <v>53</v>
      </c>
      <c r="G17" s="1" t="str">
        <f>IFERROR(__xludf.DUMMYFUNCTION("GOOGLETRANSLATE(F17, ""de"", ""uk"")"),"Внутрішня гавань Дуйсбурга, колись складський і торговий порт, була перетворена на культурний і офісний район. Відновлені зерносховища та музеї демонструють успішну структурну зміну від сталі до культури.")</f>
        <v>Внутрішня гавань Дуйсбурга, колись складський і торговий порт, була перетворена на культурний і офісний район. Відновлені зерносховища та музеї демонструють успішну структурну зміну від сталі до культури.</v>
      </c>
    </row>
    <row r="18">
      <c r="A18" s="1">
        <v>17.0</v>
      </c>
      <c r="B18" s="1" t="s">
        <v>54</v>
      </c>
      <c r="C18" s="1" t="s">
        <v>55</v>
      </c>
      <c r="D18" s="1">
        <v>514839.0</v>
      </c>
      <c r="E18" s="1">
        <v>70226.0</v>
      </c>
      <c r="F18" s="1" t="s">
        <v>56</v>
      </c>
      <c r="G18" s="1" t="str">
        <f>IFERROR(__xludf.DUMMYFUNCTION("GOOGLETRANSLATE(F18, ""de"", ""uk"")"),"Заблокована шахта Цольферайн, промисловий ансамбль Баугауз, є об’єктом Всесвітньої спадщини ЮНЕСКО. Виставки та заходи оживляють історію шахтарства Рурської області.")</f>
        <v>Заблокована шахта Цольферайн, промисловий ансамбль Баугауз, є об’єктом Всесвітньої спадщини ЮНЕСКО. Виставки та заходи оживляють історію шахтарства Рурської області.</v>
      </c>
    </row>
    <row r="19">
      <c r="A19" s="1">
        <v>18.0</v>
      </c>
      <c r="B19" s="1" t="s">
        <v>57</v>
      </c>
      <c r="C19" s="1" t="s">
        <v>58</v>
      </c>
      <c r="D19" s="1">
        <v>5149.0</v>
      </c>
      <c r="E19" s="1">
        <v>70375.0</v>
      </c>
      <c r="F19" s="1" t="s">
        <v>59</v>
      </c>
      <c r="G19" s="1" t="str">
        <f>IFERROR(__xludf.DUMMYFUNCTION("GOOGLETRANSLATE(F19, ""de"", ""uk"")"),"Коксохімічний завод Zollverein переробляв вугілля на кокс до 1993 року і зараз є частиною світової культурної спадщини. Відвідувачі досліджують звивисті вежі, печі та оглядові майданчики видатного промислового пам’ятника.")</f>
        <v>Коксохімічний завод Zollverein переробляв вугілля на кокс до 1993 року і зараз є частиною світової культурної спадщини. Відвідувачі досліджують звивисті вежі, печі та оглядові майданчики видатного промислового пам’ятника.</v>
      </c>
    </row>
    <row r="20">
      <c r="A20" s="1">
        <v>19.0</v>
      </c>
      <c r="B20" s="1" t="s">
        <v>60</v>
      </c>
      <c r="C20" s="1" t="s">
        <v>61</v>
      </c>
      <c r="D20" s="1">
        <v>514925.0</v>
      </c>
      <c r="E20" s="1">
        <v>74517.0</v>
      </c>
      <c r="F20" s="1" t="s">
        <v>62</v>
      </c>
      <c r="G20" s="1" t="str">
        <f>IFERROR(__xludf.DUMMYFUNCTION("GOOGLETRANSLATE(F20, ""de"", ""uk"")"),"Стадіон Боруссії Дортмунд із легендарною «Жовтою стіною» уособлює фан-культуру Бундесліги, яка захоплює мільйони з 1963 року.")</f>
        <v>Стадіон Боруссії Дортмунд із легендарною «Жовтою стіною» уособлює фан-культуру Бундесліги, яка захоплює мільйони з 1963 року.</v>
      </c>
    </row>
    <row r="21" ht="15.75" customHeight="1">
      <c r="A21" s="1">
        <v>20.0</v>
      </c>
      <c r="B21" s="1" t="s">
        <v>63</v>
      </c>
      <c r="C21" s="1" t="s">
        <v>64</v>
      </c>
      <c r="D21" s="1">
        <v>519628.0</v>
      </c>
      <c r="E21" s="1">
        <v>76254.0</v>
      </c>
      <c r="F21" s="1" t="s">
        <v>65</v>
      </c>
      <c r="G21" s="1" t="str">
        <f>IFERROR(__xludf.DUMMYFUNCTION("GOOGLETRANSLATE(F21, ""de"", ""uk"")"),"Головний ринок Мюнстера з двосхилими будинками та аркадами, ратушею та Ламбертікірхе поєднує в собі середньовічну архітектуру та реконструкцію. Велосипеди та історія миру характеризують міський пейзаж.")</f>
        <v>Головний ринок Мюнстера з двосхилими будинками та аркадами, ратушею та Ламбертікірхе поєднує в собі середньовічну архітектуру та реконструкцію. Велосипеди та історія миру характеризують міський пейзаж.</v>
      </c>
    </row>
    <row r="22" ht="15.75" customHeight="1">
      <c r="A22" s="1">
        <v>21.0</v>
      </c>
      <c r="B22" s="1" t="s">
        <v>66</v>
      </c>
      <c r="C22" s="1" t="s">
        <v>67</v>
      </c>
      <c r="D22" s="1">
        <v>520302.0</v>
      </c>
      <c r="E22" s="1">
        <v>85325.0</v>
      </c>
      <c r="F22" s="1" t="s">
        <v>68</v>
      </c>
      <c r="G22" s="1" t="str">
        <f>IFERROR(__xludf.DUMMYFUNCTION("GOOGLETRANSLATE(F22, ""de"", ""uk"")"),"Середньовічний Спарренбург височіє над Білефельдом на краю Тевтобурзького лісу, який історично відомий битвою при Варі (9 р. н. е.).")</f>
        <v>Середньовічний Спарренбург височіє над Білефельдом на краю Тевтобурзького лісу, який історично відомий битвою при Варі (9 р. н. е.).</v>
      </c>
    </row>
    <row r="23" ht="15.75" customHeight="1">
      <c r="A23" s="1">
        <v>22.0</v>
      </c>
      <c r="B23" s="1" t="s">
        <v>69</v>
      </c>
      <c r="C23" s="1" t="s">
        <v>70</v>
      </c>
      <c r="D23" s="1">
        <v>523759.0</v>
      </c>
      <c r="E23" s="1">
        <v>9732.0</v>
      </c>
      <c r="F23" s="1" t="s">
        <v>71</v>
      </c>
      <c r="G23" s="1" t="str">
        <f>IFERROR(__xludf.DUMMYFUNCTION("GOOGLETRANSLATE(F23, ""de"", ""uk"")"),"Нова ратуша Вільгельміни в Ганновері (1913) символізує реконструкцію міста, яке тепер є місцем для виставок і зеленим містом із садами Герренгаузен.")</f>
        <v>Нова ратуша Вільгельміни в Ганновері (1913) символізує реконструкцію міста, яке тепер є місцем для виставок і зеленим містом із садами Герренгаузен.</v>
      </c>
    </row>
    <row r="24" ht="15.75" customHeight="1">
      <c r="A24" s="1">
        <v>23.0</v>
      </c>
      <c r="B24" s="1" t="s">
        <v>72</v>
      </c>
      <c r="C24" s="1" t="s">
        <v>73</v>
      </c>
      <c r="D24" s="1">
        <v>523759.0</v>
      </c>
      <c r="E24" s="1">
        <v>9732.0</v>
      </c>
      <c r="F24" s="1" t="s">
        <v>74</v>
      </c>
      <c r="G24" s="1" t="str">
        <f>IFERROR(__xludf.DUMMYFUNCTION("GOOGLETRANSLATE(F24, ""de"", ""uk"")"),"Політичний теоретик Ханна Арендт (1906–1975) народилася в Ганновері. Hannah-Arendt-Platz – це нагадування про демократію, свободу та відповідальність.")</f>
        <v>Політичний теоретик Ханна Арендт (1906–1975) народилася в Ганновері. Hannah-Arendt-Platz – це нагадування про демократію, свободу та відповідальність.</v>
      </c>
    </row>
    <row r="25" ht="15.75" customHeight="1">
      <c r="A25" s="1">
        <v>24.0</v>
      </c>
      <c r="B25" s="1" t="s">
        <v>75</v>
      </c>
      <c r="C25" s="1" t="s">
        <v>76</v>
      </c>
      <c r="D25" s="1">
        <v>523728.0</v>
      </c>
      <c r="E25" s="1">
        <v>97441.0</v>
      </c>
      <c r="F25" s="1" t="s">
        <v>77</v>
      </c>
      <c r="G25" s="1" t="str">
        <f>IFERROR(__xludf.DUMMYFUNCTION("GOOGLETRANSLATE(F25, ""de"", ""uk"")"),"Експо 2000 була першою всесвітньою виставкою в Німеччині. Павільйони та новобудови Експо Парку нагадують новаторські концепції про людей, природу та технології.")</f>
        <v>Експо 2000 була першою всесвітньою виставкою в Німеччині. Павільйони та новобудови Експо Парку нагадують новаторські концепції про людей, природу та технології.</v>
      </c>
    </row>
    <row r="26" ht="15.75" customHeight="1">
      <c r="A26" s="1">
        <v>25.0</v>
      </c>
      <c r="B26" s="1" t="s">
        <v>78</v>
      </c>
      <c r="C26" s="1" t="s">
        <v>79</v>
      </c>
      <c r="D26" s="1">
        <v>523909.0</v>
      </c>
      <c r="E26" s="1">
        <v>97335.0</v>
      </c>
      <c r="F26" s="1" t="s">
        <v>80</v>
      </c>
      <c r="G26" s="1" t="str">
        <f>IFERROR(__xludf.DUMMYFUNCTION("GOOGLETRANSLATE(F26, ""de"", ""uk"")"),"Реконструйований палац Герренхаузен розташований посеред знаменитого барокового саду Герренхаузена з водними спорудами та ботанічним гірським садом.")</f>
        <v>Реконструйований палац Герренхаузен розташований посеред знаменитого барокового саду Герренхаузена з водними спорудами та ботанічним гірським садом.</v>
      </c>
    </row>
    <row r="27" ht="15.75" customHeight="1">
      <c r="A27" s="1">
        <v>26.0</v>
      </c>
      <c r="B27" s="1" t="s">
        <v>81</v>
      </c>
      <c r="C27" s="1" t="s">
        <v>81</v>
      </c>
      <c r="D27" s="1">
        <v>522689.0</v>
      </c>
      <c r="E27" s="1">
        <v>105268.0</v>
      </c>
      <c r="F27" s="1" t="s">
        <v>82</v>
      </c>
      <c r="G27" s="1" t="str">
        <f>IFERROR(__xludf.DUMMYFUNCTION("GOOGLETRANSLATE(F27, ""de"", ""uk"")"),"Фасад зруйнованого війною замку Гвельфів у 2007 році розташували перед сучасним торгово-культурним центром – прикладом традиції в новому обличчі.")</f>
        <v>Фасад зруйнованого війною замку Гвельфів у 2007 році розташували перед сучасним торгово-культурним центром – прикладом традиції в новому обличчі.</v>
      </c>
    </row>
    <row r="28" ht="15.75" customHeight="1">
      <c r="A28" s="1">
        <v>27.0</v>
      </c>
      <c r="B28" s="1" t="s">
        <v>83</v>
      </c>
      <c r="C28" s="1" t="s">
        <v>84</v>
      </c>
      <c r="D28" s="1">
        <v>524224.0</v>
      </c>
      <c r="E28" s="1">
        <v>107864.0</v>
      </c>
      <c r="F28" s="1" t="s">
        <v>85</v>
      </c>
      <c r="G28" s="1" t="str">
        <f>IFERROR(__xludf.DUMMYFUNCTION("GOOGLETRANSLATE(F28, ""de"", ""uk"")"),"Науковий центр Phaeno, розроблений Захою Хадід, демонструє природні явища в інтерактивному режимі. Він доповнює Вольфсбурзький Автоштадт та історію VW науковим досвідом.")</f>
        <v>Науковий центр Phaeno, розроблений Захою Хадід, демонструє природні явища в інтерактивному режимі. Він доповнює Вольфсбурзький Автоштадт та історію VW науковим досвідом.</v>
      </c>
    </row>
    <row r="29" ht="15.75" customHeight="1">
      <c r="A29" s="1">
        <v>28.0</v>
      </c>
      <c r="B29" s="1" t="s">
        <v>86</v>
      </c>
      <c r="C29" s="1" t="s">
        <v>87</v>
      </c>
      <c r="D29" s="1">
        <v>524225.0</v>
      </c>
      <c r="E29" s="1">
        <v>107864.0</v>
      </c>
      <c r="F29" s="1" t="s">
        <v>88</v>
      </c>
      <c r="G29" s="1" t="str">
        <f>IFERROR(__xludf.DUMMYFUNCTION("GOOGLETRANSLATE(F29, ""de"", ""uk"")"),"Автоштадт у Вольфсбурзі, заснований у 1938 році як місце для виробництва VW Beetle, розповідає історію компанії та автомобіля за допомогою павільйонів і старовинних автомобілів.")</f>
        <v>Автоштадт у Вольфсбурзі, заснований у 1938 році як місце для виробництва VW Beetle, розповідає історію компанії та автомобіля за допомогою павільйонів і старовинних автомобілів.</v>
      </c>
    </row>
    <row r="30" ht="15.75" customHeight="1">
      <c r="A30" s="1">
        <v>29.0</v>
      </c>
      <c r="B30" s="1" t="s">
        <v>89</v>
      </c>
      <c r="C30" s="1" t="s">
        <v>90</v>
      </c>
      <c r="D30" s="1">
        <v>519045.0</v>
      </c>
      <c r="E30" s="1">
        <v>104297.0</v>
      </c>
      <c r="F30" s="1" t="s">
        <v>91</v>
      </c>
      <c r="G30" s="1" t="str">
        <f>IFERROR(__xludf.DUMMYFUNCTION("GOOGLETRANSLATE(F30, ""de"", ""uk"")"),"Фахверкове старе місто Гослар і рудна шахта Раммельсберг є спільним об’єктом Всесвітньої спадщини ЮНЕСКО: тисячоліття видобутку руди Гарца зустрічається з середньовічним імперським містом.")</f>
        <v>Фахверкове старе місто Гослар і рудна шахта Раммельсберг є спільним об’єктом Всесвітньої спадщини ЮНЕСКО: тисячоліття видобутку руди Гарца зустрічається з середньовічним імперським містом.</v>
      </c>
    </row>
    <row r="31" ht="15.75" customHeight="1">
      <c r="A31" s="1">
        <v>30.0</v>
      </c>
      <c r="B31" s="1" t="s">
        <v>92</v>
      </c>
      <c r="C31" s="1" t="s">
        <v>93</v>
      </c>
      <c r="D31" s="1">
        <v>515403.0</v>
      </c>
      <c r="E31" s="1">
        <v>99357.0</v>
      </c>
      <c r="F31" s="1" t="s">
        <v>94</v>
      </c>
      <c r="G31" s="1" t="str">
        <f>IFERROR(__xludf.DUMMYFUNCTION("GOOGLETRANSLATE(F31, ""de"", ""uk"")"),"Університет Геттінгена формує місто з 1737 року. Фонтан Gänseliesel вважається «дівчиною, яку найбільше цілують у світі», тому що новоспечені докторанти цілують статую.")</f>
        <v>Університет Геттінгена формує місто з 1737 року. Фонтан Gänseliesel вважається «дівчиною, яку найбільше цілують у світі», тому що новоспечені докторанти цілують статую.</v>
      </c>
    </row>
    <row r="32" ht="15.75" customHeight="1">
      <c r="A32" s="1">
        <v>31.0</v>
      </c>
      <c r="B32" s="1" t="s">
        <v>95</v>
      </c>
      <c r="C32" s="1" t="s">
        <v>96</v>
      </c>
      <c r="D32" s="1">
        <v>513155.0</v>
      </c>
      <c r="E32" s="1">
        <v>94962.0</v>
      </c>
      <c r="F32" s="1" t="s">
        <v>97</v>
      </c>
      <c r="G32" s="1" t="str">
        <f>IFERROR(__xludf.DUMMYFUNCTION("GOOGLETRANSLATE(F32, ""de"", ""uk"")"),"Якоб і Вільгельм Грімм зібрали свої всесвітньо відомі казки в Касселі. The Grimm World представляє рукописи та лінгвістичну спадщину.")</f>
        <v>Якоб і Вільгельм Грімм зібрали свої всесвітньо відомі казки в Касселі. The Grimm World представляє рукописи та лінгвістичну спадщину.</v>
      </c>
    </row>
    <row r="33" ht="15.75" customHeight="1">
      <c r="A33" s="1">
        <v>32.0</v>
      </c>
      <c r="B33" s="1" t="s">
        <v>98</v>
      </c>
      <c r="C33" s="1" t="s">
        <v>99</v>
      </c>
      <c r="D33" s="1">
        <v>513118.0</v>
      </c>
      <c r="E33" s="1">
        <v>9497.0</v>
      </c>
      <c r="F33" s="1" t="s">
        <v>100</v>
      </c>
      <c r="G33" s="1" t="str">
        <f>IFERROR(__xludf.DUMMYFUNCTION("GOOGLETRANSLATE(F33, ""de"", ""uk"")"),"Документа, яка проводиться кожні п’ять років, робить Кассель світовою столицею сучасного мистецтва та перетворює місто на величезний музей під відкритим небом.")</f>
        <v>Документа, яка проводиться кожні п’ять років, робить Кассель світовою столицею сучасного мистецтва та перетворює місто на величезний музей під відкритим небом.</v>
      </c>
    </row>
    <row r="34" ht="15.75" customHeight="1">
      <c r="A34" s="1">
        <v>33.0</v>
      </c>
      <c r="B34" s="1" t="s">
        <v>101</v>
      </c>
      <c r="C34" s="1" t="s">
        <v>102</v>
      </c>
      <c r="D34" s="1">
        <v>513116.0</v>
      </c>
      <c r="E34" s="1">
        <v>94797.0</v>
      </c>
      <c r="F34" s="1" t="s">
        <v>103</v>
      </c>
      <c r="G34" s="1" t="str">
        <f>IFERROR(__xludf.DUMMYFUNCTION("GOOGLETRANSLATE(F34, ""de"", ""uk"")"),"Найбільший у Європі парк на схилі пагорба зі статуєю Геркулеса та водними об’єктами в стилі бароко є об’єктом Всесвітньої спадщини ЮНЕСКО та свідченням садового мистецтва ландграфа.")</f>
        <v>Найбільший у Європі парк на схилі пагорба зі статуєю Геркулеса та водними об’єктами в стилі бароко є об’єктом Всесвітньої спадщини ЮНЕСКО та свідченням садового мистецтва ландграфа.</v>
      </c>
    </row>
    <row r="35" ht="15.75" customHeight="1">
      <c r="A35" s="1">
        <v>34.0</v>
      </c>
      <c r="B35" s="1" t="s">
        <v>104</v>
      </c>
      <c r="C35" s="1" t="s">
        <v>105</v>
      </c>
      <c r="D35" s="1">
        <v>509711.0</v>
      </c>
      <c r="E35" s="1">
        <v>103277.0</v>
      </c>
      <c r="F35" s="1" t="s">
        <v>106</v>
      </c>
      <c r="G35" s="1" t="str">
        <f>IFERROR(__xludf.DUMMYFUNCTION("GOOGLETRANSLATE(F35, ""de"", ""uk"")"),"У 1817 році студенти Вартбурга вимагали національної єдності та громадянських свобод. Замок також відомий перекладом Біблії Лютера.")</f>
        <v>У 1817 році студенти Вартбурга вимагали національної єдності та громадянських свобод. Замок також відомий перекладом Біблії Лютера.</v>
      </c>
    </row>
    <row r="36" ht="15.75" customHeight="1">
      <c r="A36" s="1">
        <v>35.0</v>
      </c>
      <c r="B36" s="1" t="s">
        <v>107</v>
      </c>
      <c r="C36" s="1" t="s">
        <v>108</v>
      </c>
      <c r="D36" s="1">
        <v>509848.0</v>
      </c>
      <c r="E36" s="1">
        <v>110299.0</v>
      </c>
      <c r="F36" s="1" t="s">
        <v>109</v>
      </c>
      <c r="G36" s="1" t="str">
        <f>IFERROR(__xludf.DUMMYFUNCTION("GOOGLETRANSLATE(F36, ""de"", ""uk"")"),"У готичному Ерфуртському соборі знаходиться Глоріоза, найбільший середньовічний дзвін, що вільно обертається. У 1507 році тут був висвячений на священика Мартін Лютер.")</f>
        <v>У готичному Ерфуртському соборі знаходиться Глоріоза, найбільший середньовічний дзвін, що вільно обертається. У 1507 році тут був висвячений на священика Мартін Лютер.</v>
      </c>
    </row>
    <row r="37" ht="15.75" customHeight="1">
      <c r="A37" s="1">
        <v>36.0</v>
      </c>
      <c r="B37" s="1" t="s">
        <v>110</v>
      </c>
      <c r="C37" s="1" t="s">
        <v>111</v>
      </c>
      <c r="D37" s="1">
        <v>509795.0</v>
      </c>
      <c r="E37" s="1">
        <v>11329.0</v>
      </c>
      <c r="F37" s="1" t="s">
        <v>112</v>
      </c>
      <c r="G37" s="1" t="str">
        <f>IFERROR(__xludf.DUMMYFUNCTION("GOOGLETRANSLATE(F37, ""de"", ""uk"")"),"У будинку Гете представлені оригінальні кімнати та збірки поета, який разом із Шиллером сформував веймарський класицизм.")</f>
        <v>У будинку Гете представлені оригінальні кімнати та збірки поета, який разом із Шиллером сформував веймарський класицизм.</v>
      </c>
    </row>
    <row r="38" ht="15.75" customHeight="1">
      <c r="A38" s="1">
        <v>37.0</v>
      </c>
      <c r="B38" s="1" t="s">
        <v>113</v>
      </c>
      <c r="C38" s="1" t="s">
        <v>114</v>
      </c>
      <c r="D38" s="1">
        <v>509793.0</v>
      </c>
      <c r="E38" s="1">
        <v>113292.0</v>
      </c>
      <c r="F38" s="1" t="s">
        <v>115</v>
      </c>
      <c r="G38" s="1" t="str">
        <f>IFERROR(__xludf.DUMMYFUNCTION("GOOGLETRANSLATE(F38, ""de"", ""uk"")"),"Девальвація валюти Веймарської республіки досягла свого піку в 1923 році: ціни вибухнули, заощадження впали – травма в економічній історії Німеччини.")</f>
        <v>Девальвація валюти Веймарської республіки досягла свого піку в 1923 році: ціни вибухнули, заощадження впали – травма в економічній історії Німеччини.</v>
      </c>
    </row>
    <row r="39" ht="15.75" customHeight="1">
      <c r="A39" s="1">
        <v>38.0</v>
      </c>
      <c r="B39" s="1" t="s">
        <v>116</v>
      </c>
      <c r="C39" s="1" t="s">
        <v>117</v>
      </c>
      <c r="D39" s="1">
        <v>505451.0</v>
      </c>
      <c r="E39" s="1">
        <v>112147.0</v>
      </c>
      <c r="F39" s="1" t="s">
        <v>118</v>
      </c>
      <c r="G39" s="1" t="str">
        <f>IFERROR(__xludf.DUMMYFUNCTION("GOOGLETRANSLATE(F39, ""de"", ""uk"")"),"170-кілометрова пішохідна стежка Rennsteig Kammweg є найстарішою пішохідною стежкою на довгі відстані в Німеччині, яка з’єднує культурні та природні ландшафти Тюрінгського лісу.")</f>
        <v>170-кілометрова пішохідна стежка Rennsteig Kammweg є найстарішою пішохідною стежкою на довгі відстані в Німеччині, яка з’єднує культурні та природні ландшафти Тюрінгського лісу.</v>
      </c>
    </row>
    <row r="40" ht="15.75" customHeight="1">
      <c r="A40" s="1">
        <v>39.0</v>
      </c>
      <c r="B40" s="1" t="s">
        <v>119</v>
      </c>
      <c r="C40" s="1" t="s">
        <v>120</v>
      </c>
      <c r="D40" s="1">
        <v>505477.0</v>
      </c>
      <c r="E40" s="1">
        <v>111681.0</v>
      </c>
      <c r="F40" s="1" t="s">
        <v>121</v>
      </c>
      <c r="G40" s="1" t="str">
        <f>IFERROR(__xludf.DUMMYFUNCTION("GOOGLETRANSLATE(F40, ""de"", ""uk"")"),"Лауша вважається батьківщиною скляної ялинкової кулі. Тут із 1597 року сімейні підприємства розвивають мистецтво видування скла.")</f>
        <v>Лауша вважається батьківщиною скляної ялинкової кулі. Тут із 1597 року сімейні підприємства розвивають мистецтво видування скла.</v>
      </c>
    </row>
    <row r="41" ht="15.75" customHeight="1">
      <c r="A41" s="1">
        <v>40.0</v>
      </c>
      <c r="B41" s="1" t="s">
        <v>122</v>
      </c>
      <c r="C41" s="1" t="s">
        <v>123</v>
      </c>
      <c r="D41" s="1">
        <v>502599.0</v>
      </c>
      <c r="E41" s="1">
        <v>109644.0</v>
      </c>
      <c r="F41" s="1" t="s">
        <v>124</v>
      </c>
      <c r="G41" s="1" t="str">
        <f>IFERROR(__xludf.DUMMYFUNCTION("GOOGLETRANSLATE(F41, ""de"", ""uk"")"),"У Весте-Кобург, одному з найбільших замків Німеччини, зберігаються колекції творів мистецтва, і він був місцем притулку Лютера в 1530 році.")</f>
        <v>У Весте-Кобург, одному з найбільших замків Німеччини, зберігаються колекції творів мистецтва, і він був місцем притулку Лютера в 1530 році.</v>
      </c>
    </row>
    <row r="42" ht="15.75" customHeight="1">
      <c r="A42" s="1">
        <v>41.0</v>
      </c>
      <c r="B42" s="1" t="s">
        <v>125</v>
      </c>
      <c r="C42" s="1" t="s">
        <v>126</v>
      </c>
      <c r="D42" s="1">
        <v>501011.0</v>
      </c>
      <c r="E42" s="1">
        <v>11438.0</v>
      </c>
      <c r="F42" s="1" t="s">
        <v>127</v>
      </c>
      <c r="G42" s="1" t="str">
        <f>IFERROR(__xludf.DUMMYFUNCTION("GOOGLETRANSLATE(F42, ""de"", ""uk"")"),"Kulmbach представляє міцне пиво та традиції Eisbock у Баварському пивоварному музеї та щороку відзначає Тиждень пива.")</f>
        <v>Kulmbach представляє міцне пиво та традиції Eisbock у Баварському пивоварному музеї та щороку відзначає Тиждень пива.</v>
      </c>
    </row>
    <row r="43" ht="15.75" customHeight="1">
      <c r="A43" s="1">
        <v>42.0</v>
      </c>
      <c r="B43" s="1" t="s">
        <v>128</v>
      </c>
      <c r="C43" s="1" t="s">
        <v>129</v>
      </c>
      <c r="D43" s="1">
        <v>501011.0</v>
      </c>
      <c r="E43" s="1">
        <v>11438.0</v>
      </c>
      <c r="F43" s="1" t="s">
        <v>130</v>
      </c>
      <c r="G43" s="1" t="str">
        <f>IFERROR(__xludf.DUMMYFUNCTION("GOOGLETRANSLATE(F43, ""de"", ""uk"")"),"Франконське пивоварне мистецтво із законом про чистоту: міцне пиво Kulmbacher користується міжнародною репутацією та формує місцеву ідентичність.")</f>
        <v>Франконське пивоварне мистецтво із законом про чистоту: міцне пиво Kulmbacher користується міжнародною репутацією та формує місцеву ідентичність.</v>
      </c>
    </row>
    <row r="44" ht="15.75" customHeight="1">
      <c r="A44" s="1">
        <v>43.0</v>
      </c>
      <c r="B44" s="1" t="s">
        <v>131</v>
      </c>
      <c r="C44" s="1" t="s">
        <v>132</v>
      </c>
      <c r="D44" s="1">
        <v>499487.0</v>
      </c>
      <c r="E44" s="1">
        <v>11576.0</v>
      </c>
      <c r="F44" s="1" t="s">
        <v>133</v>
      </c>
      <c r="G44" s="1" t="str">
        <f>IFERROR(__xludf.DUMMYFUNCTION("GOOGLETRANSLATE(F44, ""de"", ""uk"")"),"Марграфський оперний театр (1748 р.) — це повністю збережений бароковий театр, об’єкт Всесвітньої спадщини ЮНЕСКО — перлина придворної фестивальної культури.")</f>
        <v>Марграфський оперний театр (1748 р.) — це повністю збережений бароковий театр, об’єкт Всесвітньої спадщини ЮНЕСКО — перлина придворної фестивальної культури.</v>
      </c>
    </row>
    <row r="45" ht="15.75" customHeight="1">
      <c r="A45" s="1">
        <v>44.0</v>
      </c>
      <c r="B45" s="1" t="s">
        <v>134</v>
      </c>
      <c r="C45" s="1" t="s">
        <v>135</v>
      </c>
      <c r="D45" s="1">
        <v>499451.0</v>
      </c>
      <c r="E45" s="1">
        <v>115908.0</v>
      </c>
      <c r="F45" s="1" t="s">
        <v>136</v>
      </c>
      <c r="G45" s="1" t="str">
        <f>IFERROR(__xludf.DUMMYFUNCTION("GOOGLETRANSLATE(F45, ""de"", ""uk"")"),"Фестивальний зал, який відкрився в 1876 році і акустично розроблений для музичних драм Вагнера, приваблює любителів опери з усього світу на Байройтський фестиваль.")</f>
        <v>Фестивальний зал, який відкрився в 1876 році і акустично розроблений для музичних драм Вагнера, приваблює любителів опери з усього світу на Байройтський фестиваль.</v>
      </c>
    </row>
    <row r="46" ht="15.75" customHeight="1">
      <c r="A46" s="1">
        <v>45.0</v>
      </c>
      <c r="B46" s="1" t="s">
        <v>137</v>
      </c>
      <c r="C46" s="1" t="s">
        <v>138</v>
      </c>
      <c r="D46" s="1">
        <v>497631.0</v>
      </c>
      <c r="E46" s="1">
        <v>114062.0</v>
      </c>
      <c r="F46" s="1" t="s">
        <v>139</v>
      </c>
      <c r="G46" s="1" t="str">
        <f>IFERROR(__xludf.DUMMYFUNCTION("GOOGLETRANSLATE(F46, ""de"", ""uk"")"),"Порізаний карстовий ландшафт зі сталактитовими печерами та руїнами замку був популярним місцем для походів і скелелазіння з 19 століття.")</f>
        <v>Порізаний карстовий ландшафт зі сталактитовими печерами та руїнами замку був популярним місцем для походів і скелелазіння з 19 століття.</v>
      </c>
    </row>
    <row r="47" ht="15.75" customHeight="1">
      <c r="A47" s="1">
        <v>46.0</v>
      </c>
      <c r="B47" s="1" t="s">
        <v>140</v>
      </c>
      <c r="C47" s="1" t="s">
        <v>141</v>
      </c>
      <c r="D47" s="1">
        <v>498917.0</v>
      </c>
      <c r="E47" s="1">
        <v>108852.0</v>
      </c>
      <c r="F47" s="1" t="s">
        <v>142</v>
      </c>
      <c r="G47" s="1" t="str">
        <f>IFERROR(__xludf.DUMMYFUNCTION("GOOGLETRANSLATE(F47, ""de"", ""uk"")"),"Старе місто Бамберга на семи пагорбах із романським собором і ратушею в Регніці вважається найбільшим незруйнованим історичним міським пейзажем у Німеччині.")</f>
        <v>Старе місто Бамберга на семи пагорбах із романським собором і ратушею в Регніці вважається найбільшим незруйнованим історичним міським пейзажем у Німеччині.</v>
      </c>
    </row>
    <row r="48" ht="15.75" customHeight="1">
      <c r="A48" s="1">
        <v>47.0</v>
      </c>
      <c r="B48" s="1" t="s">
        <v>143</v>
      </c>
      <c r="C48" s="1" t="s">
        <v>144</v>
      </c>
      <c r="D48" s="1">
        <v>494542.0</v>
      </c>
      <c r="E48" s="1">
        <v>110773.0</v>
      </c>
      <c r="F48" s="1" t="s">
        <v>145</v>
      </c>
      <c r="G48" s="1" t="str">
        <f>IFERROR(__xludf.DUMMYFUNCTION("GOOGLETRANSLATE(F48, ""de"", ""uk"")"),"Нюрнберзький Christkindlesmarkt, який використовується з 16 століття, приваблює два мільйони відвідувачів щороку пряниками та дерев'яними іграшками.")</f>
        <v>Нюрнберзький Christkindlesmarkt, який використовується з 16 століття, приваблює два мільйони відвідувачів щороку пряниками та дерев'яними іграшками.</v>
      </c>
    </row>
    <row r="49" ht="15.75" customHeight="1">
      <c r="A49" s="1">
        <v>48.0</v>
      </c>
      <c r="B49" s="1" t="s">
        <v>146</v>
      </c>
      <c r="C49" s="1" t="s">
        <v>147</v>
      </c>
      <c r="D49" s="1">
        <v>494528.0</v>
      </c>
      <c r="E49" s="1">
        <v>11078.0</v>
      </c>
      <c r="F49" s="1" t="s">
        <v>148</v>
      </c>
      <c r="G49" s="1" t="str">
        <f>IFERROR(__xludf.DUMMYFUNCTION("GOOGLETRANSLATE(F49, ""de"", ""uk"")"),"Меморіум Нюрнберзький процес у кімнаті 600 вшановує юридичне розслідування нацистських злочинів і народження міжнародного кримінального права.")</f>
        <v>Меморіум Нюрнберзький процес у кімнаті 600 вшановує юридичне розслідування нацистських злочинів і народження міжнародного кримінального права.</v>
      </c>
    </row>
    <row r="50" ht="15.75" customHeight="1">
      <c r="A50" s="1">
        <v>49.0</v>
      </c>
      <c r="B50" s="1" t="s">
        <v>149</v>
      </c>
      <c r="C50" s="1" t="s">
        <v>150</v>
      </c>
      <c r="D50" s="1">
        <v>48765.0</v>
      </c>
      <c r="E50" s="1">
        <v>114257.0</v>
      </c>
      <c r="F50" s="1" t="s">
        <v>151</v>
      </c>
      <c r="G50" s="1" t="str">
        <f>IFERROR(__xludf.DUMMYFUNCTION("GOOGLETRANSLATE(F50, ""de"", ""uk"")"),"У 1516 році баварські герцоги проголосили в Інгольштадті закон про чистоту: пиво може складатися лише з води, ячменю та хмелю – це найстаріший харчовий закон у світі.")</f>
        <v>У 1516 році баварські герцоги проголосили в Інгольштадті закон про чистоту: пиво може складатися лише з води, ячменю та хмелю – це найстаріший харчовий закон у світі.</v>
      </c>
    </row>
    <row r="51" ht="15.75" customHeight="1">
      <c r="A51" s="1">
        <v>50.0</v>
      </c>
      <c r="B51" s="1" t="s">
        <v>152</v>
      </c>
      <c r="C51" s="1" t="s">
        <v>153</v>
      </c>
      <c r="D51" s="1">
        <v>482188.0</v>
      </c>
      <c r="E51" s="1">
        <v>116247.0</v>
      </c>
      <c r="F51" s="1" t="s">
        <v>154</v>
      </c>
      <c r="G51" s="1" t="str">
        <f>IFERROR(__xludf.DUMMYFUNCTION("GOOGLETRANSLATE(F51, ""de"", ""uk"")"),"Allianz Arena, яка була відкрита в 2005 році з напівпрозорою зовнішньою оболонкою, є домом для футбольного клубу «Баварія» та є одним із найяскравіших стадіонів у Європі.")</f>
        <v>Allianz Arena, яка була відкрита в 2005 році з напівпрозорою зовнішньою оболонкою, є домом для футбольного клубу «Баварія» та є одним із найяскравіших стадіонів у Європі.</v>
      </c>
    </row>
    <row r="52" ht="15.75" customHeight="1">
      <c r="A52" s="1">
        <v>51.0</v>
      </c>
      <c r="B52" s="1" t="s">
        <v>155</v>
      </c>
      <c r="C52" s="1" t="s">
        <v>156</v>
      </c>
      <c r="D52" s="1">
        <v>48174.0</v>
      </c>
      <c r="E52" s="1">
        <v>11546.0</v>
      </c>
      <c r="F52" s="1" t="s">
        <v>157</v>
      </c>
      <c r="G52" s="1" t="str">
        <f>IFERROR(__xludf.DUMMYFUNCTION("GOOGLETRANSLATE(F52, ""de"", ""uk"")"),"Ігри 1972 року встановили нові стандарти завдяки своїй архітектурі наметового даху; Напад на ізраїльську команду сформував пам'ять про сучасну територію.")</f>
        <v>Ігри 1972 року встановили нові стандарти завдяки своїй архітектурі наметового даху; Напад на ізраїльську команду сформував пам'ять про сучасну територію.</v>
      </c>
    </row>
    <row r="53" ht="15.75" customHeight="1">
      <c r="A53" s="1">
        <v>52.0</v>
      </c>
      <c r="B53" s="1" t="s">
        <v>158</v>
      </c>
      <c r="C53" s="1" t="s">
        <v>159</v>
      </c>
      <c r="D53" s="1">
        <v>4815.0</v>
      </c>
      <c r="E53" s="1">
        <v>1158.0</v>
      </c>
      <c r="F53" s="1" t="s">
        <v>160</v>
      </c>
      <c r="G53" s="1" t="str">
        <f>IFERROR(__xludf.DUMMYFUNCTION("GOOGLETRANSLATE(F53, ""de"", ""uk"")"),"Софі Шолль розповсюджувала листівки «Біла троянда» в LMU в 1943 році. Сьогодні меморіальні дошки нагадують нам про їхній мужній опір нацистському режиму.")</f>
        <v>Софі Шолль розповсюджувала листівки «Біла троянда» в LMU в 1943 році. Сьогодні меморіальні дошки нагадують нам про їхній мужній опір нацистському режиму.</v>
      </c>
    </row>
    <row r="54" ht="15.75" customHeight="1">
      <c r="A54" s="1">
        <v>53.0</v>
      </c>
      <c r="B54" s="1" t="s">
        <v>161</v>
      </c>
      <c r="C54" s="1" t="s">
        <v>162</v>
      </c>
      <c r="D54" s="1">
        <v>481312.0</v>
      </c>
      <c r="E54" s="1">
        <v>115497.0</v>
      </c>
      <c r="F54" s="1" t="s">
        <v>163</v>
      </c>
      <c r="G54" s="1" t="str">
        <f>IFERROR(__xludf.DUMMYFUNCTION("GOOGLETRANSLATE(F54, ""de"", ""uk"")"),"Мюнхен святкує Октоберфест з 1810 року. Величезні пивні намети, атракціони та традиційні костюми щороку приваблюють мільйони відвідувачів.")</f>
        <v>Мюнхен святкує Октоберфест з 1810 року. Величезні пивні намети, атракціони та традиційні костюми щороку приваблюють мільйони відвідувачів.</v>
      </c>
    </row>
    <row r="55" ht="15.75" customHeight="1">
      <c r="A55" s="1">
        <v>54.0</v>
      </c>
      <c r="B55" s="1" t="s">
        <v>164</v>
      </c>
      <c r="C55" s="1" t="s">
        <v>165</v>
      </c>
      <c r="D55" s="1">
        <v>475576.0</v>
      </c>
      <c r="E55" s="1">
        <v>107498.0</v>
      </c>
      <c r="F55" s="1" t="s">
        <v>166</v>
      </c>
      <c r="G55" s="1" t="str">
        <f>IFERROR(__xludf.DUMMYFUNCTION("GOOGLETRANSLATE(F55, ""de"", ""uk"")"),"Казковий замок короля Людвіга (з 1869 р.) втілює романтичний історизм в альпійській обстановці і послужив моделлю для замку Діснея.")</f>
        <v>Казковий замок короля Людвіга (з 1869 р.) втілює романтичний історизм в альпійській обстановці і послужив моделлю для замку Діснея.</v>
      </c>
    </row>
    <row r="56" ht="15.75" customHeight="1">
      <c r="A56" s="1">
        <v>55.0</v>
      </c>
      <c r="B56" s="1" t="s">
        <v>167</v>
      </c>
      <c r="C56" s="1" t="s">
        <v>168</v>
      </c>
      <c r="D56" s="1">
        <v>476514.0</v>
      </c>
      <c r="E56" s="1">
        <v>9478.0</v>
      </c>
      <c r="F56" s="1" t="s">
        <v>169</v>
      </c>
      <c r="G56" s="1" t="str">
        <f>IFERROR(__xludf.DUMMYFUNCTION("GOOGLETRANSLATE(F56, ""de"", ""uk"")"),"Тут у 1900 році злетів перший у світі цепелін. У музеї представлені експонати епохи дирижаблів, у тому числі секція «Гінденбурга».")</f>
        <v>Тут у 1900 році злетів перший у світі цепелін. У музеї представлені експонати епохи дирижаблів, у тому числі секція «Гінденбурга».</v>
      </c>
    </row>
    <row r="57" ht="15.75" customHeight="1">
      <c r="A57" s="1">
        <v>56.0</v>
      </c>
      <c r="B57" s="1" t="s">
        <v>170</v>
      </c>
      <c r="C57" s="1" t="s">
        <v>171</v>
      </c>
      <c r="D57" s="1">
        <v>484011.0</v>
      </c>
      <c r="E57" s="1">
        <v>99876.0</v>
      </c>
      <c r="F57" s="1" t="s">
        <v>172</v>
      </c>
      <c r="G57" s="1" t="str">
        <f>IFERROR(__xludf.DUMMYFUNCTION("GOOGLETRANSLATE(F57, ""de"", ""uk"")"),"Альберт Ейнштейн, який народився в Ульмі в 1879 році, зробив революцію у фізиці завдяки теорії відносності та квантовій теорії. Фонтан вшановує пам'ять про генія.")</f>
        <v>Альберт Ейнштейн, який народився в Ульмі в 1879 році, зробив революцію у фізиці завдяки теорії відносності та квантовій теорії. Фонтан вшановує пам'ять про генія.</v>
      </c>
    </row>
    <row r="58" ht="15.75" customHeight="1">
      <c r="A58" s="1">
        <v>57.0</v>
      </c>
      <c r="B58" s="1" t="s">
        <v>173</v>
      </c>
      <c r="C58" s="1" t="s">
        <v>174</v>
      </c>
      <c r="D58" s="1">
        <v>487904.0</v>
      </c>
      <c r="E58" s="1">
        <v>92183.0</v>
      </c>
      <c r="F58" s="1" t="s">
        <v>175</v>
      </c>
      <c r="G58" s="1" t="str">
        <f>IFERROR(__xludf.DUMMYFUNCTION("GOOGLETRANSLATE(F58, ""de"", ""uk"")"),"Cannstatter Volksfest (з 1818 року) є другим за величиною німецьким пивним і фольклорним фестивалем після Октоберфесту, який щорічно приваблює близько чотирьох мільйонів гостей.")</f>
        <v>Cannstatter Volksfest (з 1818 року) є другим за величиною німецьким пивним і фольклорним фестивалем після Октоберфесту, який щорічно приваблює близько чотирьох мільйонів гостей.</v>
      </c>
    </row>
    <row r="59" ht="15.75" customHeight="1">
      <c r="A59" s="1">
        <v>58.0</v>
      </c>
      <c r="B59" s="1" t="s">
        <v>176</v>
      </c>
      <c r="C59" s="1" t="s">
        <v>176</v>
      </c>
      <c r="D59" s="1">
        <v>494106.0</v>
      </c>
      <c r="E59" s="1">
        <v>87151.0</v>
      </c>
      <c r="F59" s="1" t="s">
        <v>177</v>
      </c>
      <c r="G59" s="1" t="str">
        <f>IFERROR(__xludf.DUMMYFUNCTION("GOOGLETRANSLATE(F59, ""de"", ""uk"")"),"Романтичні руїни замку над річкою Неккар були резиденцією курфюрстів. Його ренесансні фасади та Велика бочка вже надихали Гете.")</f>
        <v>Романтичні руїни замку над річкою Неккар були резиденцією курфюрстів. Його ренесансні фасади та Велика бочка вже надихали Гете.</v>
      </c>
    </row>
    <row r="60" ht="15.75" customHeight="1">
      <c r="A60" s="1">
        <v>59.0</v>
      </c>
      <c r="B60" s="1" t="s">
        <v>178</v>
      </c>
      <c r="C60" s="1" t="s">
        <v>179</v>
      </c>
      <c r="D60" s="1">
        <v>494875.0</v>
      </c>
      <c r="E60" s="1">
        <v>8466.0</v>
      </c>
      <c r="F60" s="1" t="s">
        <v>180</v>
      </c>
      <c r="G60" s="1" t="str">
        <f>IFERROR(__xludf.DUMMYFUNCTION("GOOGLETRANSLATE(F60, ""de"", ""uk"")"),"Карл Бенц побудував перший практичний автомобіль у Мангеймі в 1885/86. Перша далека подорож Берти Бенц довела її придатність для щоденного використання.")</f>
        <v>Карл Бенц побудував перший практичний автомобіль у Мангеймі в 1885/86. Перша далека подорож Берти Бенц довела її придатність для щоденного використання.</v>
      </c>
    </row>
    <row r="61" ht="15.75" customHeight="1">
      <c r="A61" s="1">
        <v>60.0</v>
      </c>
      <c r="B61" s="1" t="s">
        <v>181</v>
      </c>
      <c r="C61" s="1" t="s">
        <v>182</v>
      </c>
      <c r="D61" s="1">
        <v>497913.0</v>
      </c>
      <c r="E61" s="1">
        <v>99534.0</v>
      </c>
      <c r="F61" s="1" t="s">
        <v>183</v>
      </c>
      <c r="G61" s="1" t="str">
        <f>IFERROR(__xludf.DUMMYFUNCTION("GOOGLETRANSLATE(F61, ""de"", ""uk"")"),"Вюрцбурзька резиденція (1720–1744) з фрескою Тьєполо та Дзеркальною залою вважається головним твором південнонімецького бароко та є об’єктом Всесвітньої спадщини ЮНЕСКО.")</f>
        <v>Вюрцбурзька резиденція (1720–1744) з фрескою Тьєполо та Дзеркальною залою вважається головним твором південнонімецького бароко та є об’єктом Всесвітньої спадщини ЮНЕСКО.</v>
      </c>
    </row>
    <row r="62" ht="15.75" customHeight="1">
      <c r="A62" s="1">
        <v>61.0</v>
      </c>
      <c r="B62" s="1" t="s">
        <v>184</v>
      </c>
      <c r="C62" s="1" t="s">
        <v>185</v>
      </c>
      <c r="D62" s="1">
        <v>481275.0</v>
      </c>
      <c r="E62" s="1">
        <v>82364.0</v>
      </c>
      <c r="F62" s="1" t="s">
        <v>186</v>
      </c>
      <c r="G62" s="1" t="str">
        <f>IFERROR(__xludf.DUMMYFUNCTION("GOOGLETRANSLATE(F62, ""de"", ""uk"")"),"Кремово-шоколадно-вишневий торт з киршем був створений у Шварцвальді. Кафе Schäfer подає їх за історичним рецептом.")</f>
        <v>Кремово-шоколадно-вишневий торт з киршем був створений у Шварцвальді. Кафе Schäfer подає їх за історичним рецептом.</v>
      </c>
    </row>
    <row r="63" ht="15.75" customHeight="1">
      <c r="A63" s="1">
        <v>62.0</v>
      </c>
      <c r="B63" s="1" t="s">
        <v>187</v>
      </c>
      <c r="C63" s="1" t="s">
        <v>188</v>
      </c>
      <c r="D63" s="1">
        <v>507753.0</v>
      </c>
      <c r="E63" s="1">
        <v>60839.0</v>
      </c>
      <c r="F63" s="1" t="s">
        <v>189</v>
      </c>
      <c r="G63" s="1" t="str">
        <f>IFERROR(__xludf.DUMMYFUNCTION("GOOGLETRANSLATE(F63, ""de"", ""uk"")"),"Пфальцська капела Карла (VIII/IX ст.) і готичний хор є першим у Німеччині об’єктом Всесвітньої спадщини ЮНЕСКО. Тут було короновано понад 30 німецьких королів.")</f>
        <v>Пфальцська капела Карла (VIII/IX ст.) і готичний хор є першим у Німеччині об’єктом Всесвітньої спадщини ЮНЕСКО. Тут було короновано понад 30 німецьких королів.</v>
      </c>
    </row>
    <row r="64" ht="15.75" customHeight="1">
      <c r="A64" s="1">
        <v>63.0</v>
      </c>
      <c r="B64" s="1" t="s">
        <v>190</v>
      </c>
      <c r="C64" s="1" t="s">
        <v>191</v>
      </c>
      <c r="D64" s="1">
        <v>50776.0</v>
      </c>
      <c r="E64" s="1">
        <v>60839.0</v>
      </c>
      <c r="F64" s="1" t="s">
        <v>192</v>
      </c>
      <c r="G64" s="1" t="str">
        <f>IFERROR(__xludf.DUMMYFUNCTION("GOOGLETRANSLATE(F64, ""de"", ""uk"")"),"Скарб Аахенського собору зі святинею Карла Великого та святинею Марії є одним із найважливіших церковних скарбів у Європі та доповнює собор Всесвітньої спадщини.")</f>
        <v>Скарб Аахенського собору зі святинею Карла Великого та святинею Марії є одним із найважливіших церковних скарбів у Європі та доповнює собор Всесвітньої спадщини.</v>
      </c>
    </row>
    <row r="65" ht="15.75" customHeight="1">
      <c r="A65" s="1">
        <v>64.0</v>
      </c>
      <c r="B65" s="1" t="s">
        <v>193</v>
      </c>
      <c r="C65" s="1" t="s">
        <v>194</v>
      </c>
      <c r="D65" s="1">
        <v>515281.0</v>
      </c>
      <c r="E65" s="1">
        <v>115487.0</v>
      </c>
      <c r="F65" s="1" t="s">
        <v>195</v>
      </c>
      <c r="G65" s="1" t="str">
        <f>IFERROR(__xludf.DUMMYFUNCTION("GOOGLETRANSLATE(F65, ""de"", ""uk"")"),"Будинки народження та смерті Лютера в Айслебені є об’єктом Всесвітньої спадщини ЮНЕСКО та документують життя та вплив реформатора.")</f>
        <v>Будинки народження та смерті Лютера в Айслебені є об’єктом Всесвітньої спадщини ЮНЕСКО та документують життя та вплив реформатора.</v>
      </c>
    </row>
    <row r="66" ht="15.75" customHeight="1">
      <c r="A66" s="1">
        <v>65.0</v>
      </c>
      <c r="B66" s="1" t="s">
        <v>196</v>
      </c>
      <c r="C66" s="1" t="s">
        <v>197</v>
      </c>
      <c r="D66" s="1">
        <v>518349.0</v>
      </c>
      <c r="E66" s="1">
        <v>122424.0</v>
      </c>
      <c r="F66" s="1" t="s">
        <v>198</v>
      </c>
      <c r="G66" s="1" t="str">
        <f>IFERROR(__xludf.DUMMYFUNCTION("GOOGLETRANSLATE(F66, ""de"", ""uk"")"),"Майстерні будинки Гропіуса (1925/26) для вчителів Баухаузу, таких як Кандінський, представляють функціональну архітектуру Баухаузу в її початковому стані.")</f>
        <v>Майстерні будинки Гропіуса (1925/26) для вчителів Баухаузу, таких як Кандінський, представляють функціональну архітектуру Баухаузу в її початковому стані.</v>
      </c>
    </row>
    <row r="67" ht="15.75" customHeight="1">
      <c r="A67" s="1">
        <v>66.0</v>
      </c>
      <c r="B67" s="1" t="s">
        <v>199</v>
      </c>
      <c r="C67" s="1" t="s">
        <v>200</v>
      </c>
      <c r="D67" s="1">
        <v>518367.0</v>
      </c>
      <c r="E67" s="1">
        <v>122428.0</v>
      </c>
      <c r="F67" s="1" t="s">
        <v>201</v>
      </c>
      <c r="G67" s="1" t="str">
        <f>IFERROR(__xludf.DUMMYFUNCTION("GOOGLETRANSLATE(F67, ""de"", ""uk"")"),"Будівля Bauhaus (1926) зі скляним фасадом уособлює злиття мистецтва, ремісничої майстерності та промисловості – віху сучасності.")</f>
        <v>Будівля Bauhaus (1926) зі скляним фасадом уособлює злиття мистецтва, ремісничої майстерності та промисловості – віху сучасності.</v>
      </c>
    </row>
    <row r="68" ht="15.75" customHeight="1">
      <c r="A68" s="1">
        <v>67.0</v>
      </c>
      <c r="B68" s="1" t="s">
        <v>202</v>
      </c>
      <c r="C68" s="1" t="s">
        <v>203</v>
      </c>
      <c r="D68" s="1">
        <v>518661.0</v>
      </c>
      <c r="E68" s="1">
        <v>126477.0</v>
      </c>
      <c r="F68" s="1" t="s">
        <v>204</v>
      </c>
      <c r="G68" s="1" t="str">
        <f>IFERROR(__xludf.DUMMYFUNCTION("GOOGLETRANSLATE(F68, ""de"", ""uk"")"),"95 тез Лютера з 1517 року в замковій церкві поклали початок Реформації та остаточно змінили церкву та суспільство.")</f>
        <v>95 тез Лютера з 1517 року в замковій церкві поклали початок Реформації та остаточно змінили церкву та суспільство.</v>
      </c>
    </row>
    <row r="69" ht="15.75" customHeight="1">
      <c r="A69" s="1">
        <v>68.0</v>
      </c>
      <c r="B69" s="1" t="s">
        <v>205</v>
      </c>
      <c r="C69" s="1" t="s">
        <v>206</v>
      </c>
      <c r="D69" s="1">
        <v>513393.0</v>
      </c>
      <c r="E69" s="1">
        <v>123747.0</v>
      </c>
      <c r="F69" s="1" t="s">
        <v>207</v>
      </c>
      <c r="G69" s="1" t="str">
        <f>IFERROR(__xludf.DUMMYFUNCTION("GOOGLETRANSLATE(F69, ""de"", ""uk"")"),"Лейпцизькі джазові дні (з 1976 року) збирають міжнародних джазових виконавців на такі історичні місця, як андеграунд Моріцбаштай.")</f>
        <v>Лейпцизькі джазові дні (з 1976 року) збирають міжнародних джазових виконавців на такі історичні місця, як андеграунд Моріцбаштай.</v>
      </c>
    </row>
    <row r="70" ht="15.75" customHeight="1">
      <c r="A70" s="1">
        <v>69.0</v>
      </c>
      <c r="B70" s="1" t="s">
        <v>208</v>
      </c>
      <c r="C70" s="1" t="s">
        <v>209</v>
      </c>
      <c r="D70" s="1">
        <v>513388.0</v>
      </c>
      <c r="E70" s="1">
        <v>123723.0</v>
      </c>
      <c r="F70" s="1" t="s">
        <v>210</v>
      </c>
      <c r="G70" s="1" t="str">
        <f>IFERROR(__xludf.DUMMYFUNCTION("GOOGLETRANSLATE(F70, ""de"", ""uk"")"),"Бах працював Томаскантором у Лейпцигу з 1723 року. У музеї представлені рукописи та інструменти барокового композитора.")</f>
        <v>Бах працював Томаскантором у Лейпцигу з 1723 року. У музеї представлені рукописи та інструменти барокового композитора.</v>
      </c>
    </row>
    <row r="71" ht="15.75" customHeight="1">
      <c r="A71" s="1">
        <v>70.0</v>
      </c>
      <c r="B71" s="1" t="s">
        <v>211</v>
      </c>
      <c r="C71" s="1" t="s">
        <v>212</v>
      </c>
      <c r="D71" s="1">
        <v>513128.0</v>
      </c>
      <c r="E71" s="1">
        <v>124134.0</v>
      </c>
      <c r="F71" s="1" t="s">
        <v>213</v>
      </c>
      <c r="G71" s="1" t="str">
        <f>IFERROR(__xludf.DUMMYFUNCTION("GOOGLETRANSLATE(F71, ""de"", ""uk"")"),"91-метровий монумент «Битва народів» вшановує поразку Наполеона в найбільшій битві перед Першою світовою війною.")</f>
        <v>91-метровий монумент «Битва народів» вшановує поразку Наполеона в найбільшій битві перед Першою світовою війною.</v>
      </c>
    </row>
    <row r="72" ht="15.75" customHeight="1">
      <c r="A72" s="1">
        <v>71.0</v>
      </c>
      <c r="B72" s="1" t="s">
        <v>214</v>
      </c>
      <c r="C72" s="1" t="s">
        <v>215</v>
      </c>
      <c r="D72" s="1">
        <v>511642.0</v>
      </c>
      <c r="E72" s="1">
        <v>134827.0</v>
      </c>
      <c r="F72" s="1" t="s">
        <v>216</v>
      </c>
      <c r="G72" s="1" t="str">
        <f>IFERROR(__xludf.DUMMYFUNCTION("GOOGLETRANSLATE(F72, ""de"", ""uk"")"),"Перша європейська тверда порцеляна була створена в Мейсені в 1710 році. У музеї представлені шедеври зі схрещеними мечами.")</f>
        <v>Перша європейська тверда порцеляна була створена в Мейсені в 1710 році. У музеї представлені шедеври зі схрещеними мечами.</v>
      </c>
    </row>
    <row r="73" ht="15.75" customHeight="1">
      <c r="A73" s="1">
        <v>72.0</v>
      </c>
      <c r="B73" s="1" t="s">
        <v>217</v>
      </c>
      <c r="C73" s="1" t="s">
        <v>218</v>
      </c>
      <c r="D73" s="1">
        <v>523948.0</v>
      </c>
      <c r="E73" s="1">
        <v>130644.0</v>
      </c>
      <c r="F73" s="1" t="s">
        <v>219</v>
      </c>
      <c r="G73" s="1" t="str">
        <f>IFERROR(__xludf.DUMMYFUNCTION("GOOGLETRANSLATE(F73, ""de"", ""uk"")"),"У музеї техніки представлені локомотиви, кораблі та «родзинковий бомбардувальник» на даху – практична історія техніки.")</f>
        <v>У музеї техніки представлені локомотиви, кораблі та «родзинковий бомбардувальник» на даху – практична історія техніки.</v>
      </c>
    </row>
    <row r="74" ht="15.75" customHeight="1">
      <c r="A74" s="1">
        <v>73.0</v>
      </c>
      <c r="B74" s="1" t="s">
        <v>220</v>
      </c>
      <c r="C74" s="1" t="s">
        <v>221</v>
      </c>
      <c r="D74" s="1">
        <v>523969.0</v>
      </c>
      <c r="E74" s="1">
        <v>130586.0</v>
      </c>
      <c r="F74" s="1" t="s">
        <v>222</v>
      </c>
      <c r="G74" s="1" t="str">
        <f>IFERROR(__xludf.DUMMYFUNCTION("GOOGLETRANSLATE(F74, ""de"", ""uk"")"),"Фрідріх Великий побудував Сан-Сусі (1747) як літню резиденцію в стилі рококо над терасами виноградників; Парк і замки входять до списку Всесвітньої спадщини ЮНЕСКО.")</f>
        <v>Фрідріх Великий побудував Сан-Сусі (1747) як літню резиденцію в стилі рококо над терасами виноградників; Парк і замки входять до списку Всесвітньої спадщини ЮНЕСКО.</v>
      </c>
    </row>
    <row r="75" ht="15.75" customHeight="1">
      <c r="A75" s="1">
        <v>74.0</v>
      </c>
      <c r="B75" s="1" t="s">
        <v>223</v>
      </c>
      <c r="C75" s="1" t="s">
        <v>224</v>
      </c>
      <c r="D75" s="1">
        <v>524039.0</v>
      </c>
      <c r="E75" s="1">
        <v>130682.0</v>
      </c>
      <c r="F75" s="1" t="s">
        <v>225</v>
      </c>
      <c r="G75" s="1" t="str">
        <f>IFERROR(__xludf.DUMMYFUNCTION("GOOGLETRANSLATE(F75, ""de"", ""uk"")"),"Студія Babelsberg (з 1912 року) є колискою німецького кіно. Кінопарк дає змогу ознайомитись із декораціями, трюками та прийомами трюків.")</f>
        <v>Студія Babelsberg (з 1912 року) є колискою німецького кіно. Кінопарк дає змогу ознайомитись із декораціями, трюками та прийомами трюків.</v>
      </c>
    </row>
    <row r="76" ht="15.75" customHeight="1">
      <c r="A76" s="1">
        <v>75.0</v>
      </c>
      <c r="B76" s="1" t="s">
        <v>226</v>
      </c>
      <c r="C76" s="1" t="s">
        <v>227</v>
      </c>
      <c r="D76" s="1">
        <v>524731.0</v>
      </c>
      <c r="E76" s="1">
        <v>13403.0</v>
      </c>
      <c r="F76" s="1" t="s">
        <v>228</v>
      </c>
      <c r="G76" s="1" t="str">
        <f>IFERROR(__xludf.DUMMYFUNCTION("GOOGLETRANSLATE(F76, ""de"", ""uk"")"),"У 1948/49 роках бомбардувальники із родзинками постачали заблоковану західну частину міста через аеропорт Темпельгоф - символ західної солідарності.")</f>
        <v>У 1948/49 роках бомбардувальники із родзинками постачали заблоковану західну частину міста через аеропорт Темпельгоф - символ західної солідарності.</v>
      </c>
    </row>
    <row r="77" ht="15.75" customHeight="1">
      <c r="A77" s="1">
        <v>76.0</v>
      </c>
      <c r="B77" s="1" t="s">
        <v>229</v>
      </c>
      <c r="C77" s="1" t="s">
        <v>230</v>
      </c>
      <c r="D77" s="1">
        <v>525076.0</v>
      </c>
      <c r="E77" s="1">
        <v>133904.0</v>
      </c>
      <c r="F77" s="1" t="s">
        <v>231</v>
      </c>
      <c r="G77" s="1" t="str">
        <f>IFERROR(__xludf.DUMMYFUNCTION("GOOGLETRANSLATE(F77, ""de"", ""uk"")"),"Найвідоміший берлінський прикордонний пункт був ареною вибухових танкових зіткнень між США та СРСР у жовтні 1961 року.")</f>
        <v>Найвідоміший берлінський прикордонний пункт був ареною вибухових танкових зіткнень між США та СРСР у жовтні 1961 року.</v>
      </c>
    </row>
    <row r="78" ht="15.75" customHeight="1">
      <c r="A78" s="1">
        <v>77.0</v>
      </c>
      <c r="B78" s="1" t="s">
        <v>232</v>
      </c>
      <c r="C78" s="1" t="s">
        <v>233</v>
      </c>
      <c r="D78" s="1">
        <v>525163.0</v>
      </c>
      <c r="E78" s="1">
        <v>133777.0</v>
      </c>
      <c r="F78" s="1" t="s">
        <v>234</v>
      </c>
      <c r="G78" s="1" t="str">
        <f>IFERROR(__xludf.DUMMYFUNCTION("GOOGLETRANSLATE(F78, ""de"", ""uk"")"),"Класицистична брама (1791 р.) простояла на стіні до 1989 р. і після її падіння стала символом єдності Німеччини.")</f>
        <v>Класицистична брама (1791 р.) простояла на стіні до 1989 р. і після її падіння стала символом єдності Німеччини.</v>
      </c>
    </row>
    <row r="79" ht="15.75" customHeight="1">
      <c r="A79" s="1">
        <v>78.0</v>
      </c>
      <c r="B79" s="1" t="s">
        <v>235</v>
      </c>
      <c r="C79" s="1" t="s">
        <v>236</v>
      </c>
      <c r="D79" s="1">
        <v>525114.0</v>
      </c>
      <c r="E79" s="1">
        <v>13439.0</v>
      </c>
      <c r="F79" s="1" t="s">
        <v>237</v>
      </c>
      <c r="G79" s="1" t="str">
        <f>IFERROR(__xludf.DUMMYFUNCTION("GOOGLETRANSLATE(F79, ""de"", ""uk"")"),"Клуб Berghain у колишній електростанції вважається техно-меккою: безкомпромісна дверна політика та першокласний звук створюють культовий статус.")</f>
        <v>Клуб Berghain у колишній електростанції вважається техно-меккою: безкомпромісна дверна політика та першокласний звук створюють культовий статус.</v>
      </c>
    </row>
    <row r="80" ht="15.75" customHeight="1">
      <c r="A80" s="1">
        <v>79.0</v>
      </c>
      <c r="B80" s="1" t="s">
        <v>238</v>
      </c>
      <c r="C80" s="1" t="s">
        <v>239</v>
      </c>
      <c r="D80" s="1">
        <v>525045.0</v>
      </c>
      <c r="E80" s="1">
        <v>134408.0</v>
      </c>
      <c r="F80" s="1" t="s">
        <v>240</v>
      </c>
      <c r="G80" s="1" t="str">
        <f>IFERROR(__xludf.DUMMYFUNCTION("GOOGLETRANSLATE(F80, ""de"", ""uk"")"),"Залишки розфарбованої стіни довжиною 1,3 км демонструють понад 100 фресок, які виражають радість з приводу мирної революції 1989 року.")</f>
        <v>Залишки розфарбованої стіни довжиною 1,3 км демонструють понад 100 фресок, які виражають радість з приводу мирної революції 1989 року.</v>
      </c>
    </row>
    <row r="81" ht="15.75" customHeight="1">
      <c r="A81" s="1">
        <v>80.0</v>
      </c>
      <c r="B81" s="1" t="s">
        <v>241</v>
      </c>
      <c r="C81" s="1" t="s">
        <v>242</v>
      </c>
      <c r="D81" s="1">
        <v>53125.0</v>
      </c>
      <c r="E81" s="1">
        <v>13093.0</v>
      </c>
      <c r="F81" s="1" t="s">
        <v>243</v>
      </c>
      <c r="G81" s="1" t="str">
        <f>IFERROR(__xludf.DUMMYFUNCTION("GOOGLETRANSLATE(F81, ""de"", ""uk"")"),"Замок Фюрстенберг розташований у парковому ландшафті на півночі Бранденбурга, багатому на озера та ліси, і відображає аристократичну культуру в природному середовищі.")</f>
        <v>Замок Фюрстенберг розташований у парковому ландшафті на півночі Бранденбурга, багатому на озера та ліси, і відображає аристократичну культуру в природному середовищі.</v>
      </c>
    </row>
    <row r="82" ht="15.75" customHeight="1">
      <c r="A82" s="1">
        <v>81.0</v>
      </c>
      <c r="B82" s="1" t="s">
        <v>244</v>
      </c>
      <c r="C82" s="1" t="s">
        <v>245</v>
      </c>
      <c r="D82" s="1">
        <v>530913.0</v>
      </c>
      <c r="E82" s="1">
        <v>129084.0</v>
      </c>
      <c r="F82" s="1" t="s">
        <v>246</v>
      </c>
      <c r="G82" s="1" t="str">
        <f>IFERROR(__xludf.DUMMYFUNCTION("GOOGLETRANSLATE(F82, ""de"", ""uk"")"),"Замок Райнсберг на Ґрінерікзеє, який колись був резиденцією Фрідріха Великого, уособлює ідилічні озера землі Руппінер.")</f>
        <v>Замок Райнсберг на Ґрінерікзеє, який колись був резиденцією Фрідріха Великого, уособлює ідилічні озера землі Руппінер.</v>
      </c>
    </row>
    <row r="83" ht="15.75" customHeight="1">
      <c r="A83" s="1">
        <v>82.0</v>
      </c>
      <c r="B83" s="1" t="s">
        <v>247</v>
      </c>
      <c r="C83" s="1" t="s">
        <v>248</v>
      </c>
      <c r="D83" s="1">
        <v>535211.0</v>
      </c>
      <c r="E83" s="1">
        <v>126801.0</v>
      </c>
      <c r="F83" s="1" t="s">
        <v>249</v>
      </c>
      <c r="G83" s="1" t="str">
        <f>IFERROR(__xludf.DUMMYFUNCTION("GOOGLETRANSLATE(F83, ""de"", ""uk"")"),"Найбільший прісноводний акваріум Німеччини надає інформацію про флору та фауну Мекленбурзького озерного краю в Müritzeum.")</f>
        <v>Найбільший прісноводний акваріум Німеччини надає інформацію про флору та фауну Мекленбурзького озерного краю в Müritzeum.</v>
      </c>
    </row>
    <row r="84" ht="15.75" customHeight="1">
      <c r="A84" s="1">
        <v>83.0</v>
      </c>
      <c r="B84" s="1" t="s">
        <v>250</v>
      </c>
      <c r="C84" s="1" t="s">
        <v>251</v>
      </c>
      <c r="D84" s="1">
        <v>540865.0</v>
      </c>
      <c r="E84" s="1">
        <v>121095.0</v>
      </c>
      <c r="F84" s="1" t="s">
        <v>252</v>
      </c>
      <c r="G84" s="1" t="str">
        <f>IFERROR(__xludf.DUMMYFUNCTION("GOOGLETRANSLATE(F84, ""de"", ""uk"")"),"Варнемюнде Alter Strom демонструє морські традиції ганзейського міста Росток із рибальськими човнами та капітанськими будинками.")</f>
        <v>Варнемюнде Alter Strom демонструє морські традиції ганзейського міста Росток із рибальськими човнами та капітанськими будинками.</v>
      </c>
    </row>
    <row r="85" ht="15.75" customHeight="1">
      <c r="A85" s="1">
        <v>84.0</v>
      </c>
      <c r="B85" s="1" t="s">
        <v>253</v>
      </c>
      <c r="C85" s="1" t="s">
        <v>254</v>
      </c>
      <c r="D85" s="1">
        <v>543996.0</v>
      </c>
      <c r="E85" s="1">
        <v>124539.0</v>
      </c>
      <c r="F85" s="1" t="s">
        <v>255</v>
      </c>
      <c r="G85" s="1" t="str">
        <f>IFERROR(__xludf.DUMMYFUNCTION("GOOGLETRANSLATE(F85, ""de"", ""uk"")"),"З 1890 року колишнє рибальське село Аренсхоп стало колонією художників; Солом'яні дахи та світло Балтійського моря продовжують надихати художників і сьогодні.")</f>
        <v>З 1890 року колишнє рибальське село Аренсхоп стало колонією художників; Солом'яні дахи та світло Балтійського моря продовжують надихати художників і сьогодні.</v>
      </c>
    </row>
    <row r="86" ht="15.75" customHeight="1">
      <c r="A86" s="1">
        <v>85.0</v>
      </c>
      <c r="B86" s="1" t="s">
        <v>256</v>
      </c>
      <c r="C86" s="1" t="s">
        <v>257</v>
      </c>
      <c r="D86" s="1">
        <v>543126.0</v>
      </c>
      <c r="E86" s="1">
        <v>130929.0</v>
      </c>
      <c r="F86" s="1" t="s">
        <v>258</v>
      </c>
      <c r="G86" s="1" t="str">
        <f>IFERROR(__xludf.DUMMYFUNCTION("GOOGLETRANSLATE(F86, ""de"", ""uk"")"),"Муроване готичне старе місто Штральзунда отримало права міста в 1234 році; Будучи ганзейським портом, він разом із Вісмаром є об’єктом Всесвітньої спадщини ЮНЕСКО.")</f>
        <v>Муроване готичне старе місто Штральзунда отримало права міста в 1234 році; Будучи ганзейським портом, він разом із Вісмаром є об’єктом Всесвітньої спадщини ЮНЕСКО.</v>
      </c>
    </row>
    <row r="87" ht="15.75" customHeight="1">
      <c r="A87" s="1">
        <v>86.0</v>
      </c>
      <c r="B87" s="1" t="s">
        <v>259</v>
      </c>
      <c r="C87" s="1" t="s">
        <v>260</v>
      </c>
      <c r="D87" s="1">
        <v>540924.0</v>
      </c>
      <c r="E87" s="1">
        <v>134022.0</v>
      </c>
      <c r="F87" s="1" t="s">
        <v>261</v>
      </c>
      <c r="G87" s="1" t="str">
        <f>IFERROR(__xludf.DUMMYFUNCTION("GOOGLETRANSLATE(F87, ""de"", ""uk"")"),"Собор Святого Миколая (13 століття) домінує над силуетом Грайфсвальда та втілює північнонімецьку цегляну готику та ганзейське багатство.")</f>
        <v>Собор Святого Миколая (13 століття) домінує над силуетом Грайфсвальда та втілює північнонімецьку цегляну готику та ганзейське багатство.</v>
      </c>
    </row>
    <row r="88" ht="15.75" customHeight="1">
      <c r="A88" s="1">
        <v>87.0</v>
      </c>
      <c r="B88" s="1" t="s">
        <v>262</v>
      </c>
      <c r="C88" s="1" t="s">
        <v>263</v>
      </c>
      <c r="D88" s="1">
        <v>545406.0</v>
      </c>
      <c r="E88" s="1">
        <v>135747.0</v>
      </c>
      <c r="F88" s="1" t="s">
        <v>264</v>
      </c>
      <c r="G88" s="1" t="str">
        <f>IFERROR(__xludf.DUMMYFUNCTION("GOOGLETRANSLATE(F88, ""de"", ""uk"")"),"Білі крейдяні скелі та стародавні букові ліси національного парку Ясмунд є об’єктом Всесвітньої спадщини ЮНЕСКО та джерелом натхнення для художників-романтиків.")</f>
        <v>Білі крейдяні скелі та стародавні букові ліси національного парку Ясмунд є об’єктом Всесвітньої спадщини ЮНЕСКО та джерелом натхнення для художників-романтиків.</v>
      </c>
    </row>
    <row r="89" ht="15.75" customHeight="1">
      <c r="A89" s="1">
        <v>88.0</v>
      </c>
      <c r="B89" s="1" t="s">
        <v>265</v>
      </c>
      <c r="C89" s="1" t="s">
        <v>266</v>
      </c>
      <c r="D89" s="1">
        <v>540536.0</v>
      </c>
      <c r="E89" s="1">
        <v>142743.0</v>
      </c>
      <c r="F89" s="1" t="s">
        <v>267</v>
      </c>
      <c r="G89" s="1" t="str">
        <f>IFERROR(__xludf.DUMMYFUNCTION("GOOGLETRANSLATE(F89, ""de"", ""uk"")"),"З 1900 року Альбек, Герінгсдорф і Бансін залучали берлінську буржуазію до Балтійського моря своїми пристанями та курортною архітектурою.")</f>
        <v>З 1900 року Альбек, Герінгсдорф і Бансін залучали берлінську буржуазію до Балтійського моря своїми пристанями та курортною архітектурою.</v>
      </c>
    </row>
    <row r="90" ht="15.75" customHeight="1">
      <c r="A90" s="1">
        <v>89.0</v>
      </c>
      <c r="B90" s="1" t="s">
        <v>268</v>
      </c>
      <c r="C90" s="1" t="s">
        <v>269</v>
      </c>
      <c r="D90" s="1">
        <v>538923.0</v>
      </c>
      <c r="E90" s="1">
        <v>114628.0</v>
      </c>
      <c r="F90" s="1" t="s">
        <v>270</v>
      </c>
      <c r="G90" s="1" t="str">
        <f>IFERROR(__xludf.DUMMYFUNCTION("GOOGLETRANSLATE(F90, ""de"", ""uk"")"),"Фронтонні будинки, водне мистецтво та цегляні церкви свідчать про ганзейське минуле Вісмара та зробили старе місто об’єктом світової культурної спадщини.")</f>
        <v>Фронтонні будинки, водне мистецтво та цегляні церкви свідчать про ганзейське минуле Вісмара та зробили старе місто об’єктом світової культурної спадщини.</v>
      </c>
    </row>
    <row r="91" ht="15.75" customHeight="1">
      <c r="A91" s="1">
        <v>90.0</v>
      </c>
      <c r="B91" s="1" t="s">
        <v>271</v>
      </c>
      <c r="C91" s="1" t="s">
        <v>271</v>
      </c>
      <c r="D91" s="1">
        <v>536294.0</v>
      </c>
      <c r="E91" s="1">
        <v>114154.0</v>
      </c>
      <c r="F91" s="1" t="s">
        <v>272</v>
      </c>
      <c r="G91" s="1" t="str">
        <f>IFERROR(__xludf.DUMMYFUNCTION("GOOGLETRANSLATE(F91, ""de"", ""uk"")"),"Романтичний острівний замок з вежами та золотим шпилем є резиденцією парламенту землі Мекленбург-Передня Померанія та казковим мотивом.")</f>
        <v>Романтичний острівний замок з вежами та золотим шпилем є резиденцією парламенту землі Мекленбург-Передня Померанія та казковим мотивом.</v>
      </c>
    </row>
    <row r="92" ht="15.75" customHeight="1">
      <c r="A92" s="1">
        <v>91.0</v>
      </c>
      <c r="B92" s="1" t="s">
        <v>273</v>
      </c>
      <c r="C92" s="1" t="s">
        <v>274</v>
      </c>
      <c r="D92" s="1">
        <v>538683.0</v>
      </c>
      <c r="E92" s="1">
        <v>106873.0</v>
      </c>
      <c r="F92" s="1" t="s">
        <v>275</v>
      </c>
      <c r="G92" s="1" t="str">
        <f>IFERROR(__xludf.DUMMYFUNCTION("GOOGLETRANSLATE(F92, ""de"", ""uk"")"),"Пізньоготичний Гольстентор (1464–1478) з вежами-близнюками є пам’яткою Любека та нагадує про період розквіту Ганзейського союзу.")</f>
        <v>Пізньоготичний Гольстентор (1464–1478) з вежами-близнюками є пам’яткою Любека та нагадує про період розквіту Ганзейського союзу.</v>
      </c>
    </row>
    <row r="93" ht="15.75" customHeight="1">
      <c r="A93" s="1">
        <v>92.0</v>
      </c>
      <c r="B93" s="1" t="s">
        <v>276</v>
      </c>
      <c r="C93" s="1" t="s">
        <v>277</v>
      </c>
      <c r="D93" s="1">
        <v>535496.0</v>
      </c>
      <c r="E93" s="1">
        <v>99882.0</v>
      </c>
      <c r="F93" s="1" t="s">
        <v>278</v>
      </c>
      <c r="G93" s="1" t="str">
        <f>IFERROR(__xludf.DUMMYFUNCTION("GOOGLETRANSLATE(F93, ""de"", ""uk"")"),"Бароковий Мішель із 132-метровою вежею пропонує морякам орієнтуватися, а мешканцям Гамбурга – орієнтир, який створює їхню ідентичність.")</f>
        <v>Бароковий Мішель із 132-метровою вежею пропонує морякам орієнтуватися, а мешканцям Гамбурга – орієнтир, який створює їхню ідентичність.</v>
      </c>
    </row>
    <row r="94" ht="15.75" customHeight="1">
      <c r="A94" s="1">
        <v>93.0</v>
      </c>
      <c r="B94" s="1" t="s">
        <v>279</v>
      </c>
      <c r="C94" s="1" t="s">
        <v>280</v>
      </c>
      <c r="D94" s="1">
        <v>535411.0</v>
      </c>
      <c r="E94" s="1">
        <v>99847.0</v>
      </c>
      <c r="F94" s="1" t="s">
        <v>281</v>
      </c>
      <c r="G94" s="1" t="str">
        <f>IFERROR(__xludf.DUMMYFUNCTION("GOOGLETRANSLATE(F94, ""de"", ""uk"")"),"Концертний зал, відкритий у 2017 році, поєднує в собі сучасну скляну хвильову конструкцію на історичному сховищі набережної та задає акустичні стандарти.")</f>
        <v>Концертний зал, відкритий у 2017 році, поєднує в собі сучасну скляну хвильову конструкцію на історичному сховищі набережної та задає акустичні стандарти.</v>
      </c>
    </row>
    <row r="95" ht="15.75" customHeight="1">
      <c r="A95" s="1">
        <v>94.0</v>
      </c>
      <c r="B95" s="1" t="s">
        <v>282</v>
      </c>
      <c r="C95" s="1" t="s">
        <v>283</v>
      </c>
      <c r="D95" s="1">
        <v>535462.0</v>
      </c>
      <c r="E95" s="1">
        <v>99667.0</v>
      </c>
      <c r="F95" s="1" t="s">
        <v>284</v>
      </c>
      <c r="G95" s="1" t="str">
        <f>IFERROR(__xludf.DUMMYFUNCTION("GOOGLETRANSLATE(F95, ""de"", ""uk"")"),"Найбільший портовий фестиваль Європи відзначає морське судноплавство Гамбурга з 1189 року, де входять і відправляються паради всього: від вітрильних кораблів до круїзних лайнерів.")</f>
        <v>Найбільший портовий фестиваль Європи відзначає морське судноплавство Гамбурга з 1189 року, де входять і відправляються паради всього: від вітрильних кораблів до круїзних лайнерів.</v>
      </c>
    </row>
    <row r="96" ht="15.75" customHeight="1">
      <c r="A96" s="1">
        <v>95.0</v>
      </c>
      <c r="B96" s="1" t="s">
        <v>285</v>
      </c>
      <c r="C96" s="1" t="s">
        <v>286</v>
      </c>
      <c r="D96" s="1">
        <v>535503.0</v>
      </c>
      <c r="E96" s="1">
        <v>99668.0</v>
      </c>
      <c r="F96" s="1" t="s">
        <v>287</v>
      </c>
      <c r="G96" s="1" t="str">
        <f>IFERROR(__xludf.DUMMYFUNCTION("GOOGLETRANSLATE(F96, ""de"", ""uk"")"),"Репербан у Санкт-Паулі – це всесвітньо відомий район розваг і червоних ліхтарів, де у 1960-х роках відбувся прорив «Бітлз».")</f>
        <v>Репербан у Санкт-Паулі – це всесвітньо відомий район розваг і червоних ліхтарів, де у 1960-х роках відбувся прорив «Бітлз».</v>
      </c>
    </row>
    <row r="97" ht="15.75" customHeight="1">
      <c r="A97" s="1">
        <v>96.0</v>
      </c>
      <c r="B97" s="1" t="s">
        <v>288</v>
      </c>
      <c r="C97" s="1" t="s">
        <v>289</v>
      </c>
      <c r="D97" s="1">
        <v>543215.0</v>
      </c>
      <c r="E97" s="1">
        <v>10131.0</v>
      </c>
      <c r="F97" s="1" t="s">
        <v>290</v>
      </c>
      <c r="G97" s="1" t="str">
        <f>IFERROR(__xludf.DUMMYFUNCTION("GOOGLETRANSLATE(F97, ""de"", ""uk"")"),"THW Kiel, багаторазовий переможець Німеччини та Ліги чемпіонів, забезпечує гандбольну атмосферу світового рівня на Wunderino Arena.")</f>
        <v>THW Kiel, багаторазовий переможець Німеччини та Ліги чемпіонів, забезпечує гандбольну атмосферу світового рівня на Wunderino Arena.</v>
      </c>
    </row>
    <row r="98" ht="15.75" customHeight="1">
      <c r="A98" s="1">
        <v>97.0</v>
      </c>
      <c r="B98" s="1" t="s">
        <v>291</v>
      </c>
      <c r="C98" s="1" t="s">
        <v>292</v>
      </c>
      <c r="D98" s="1">
        <v>543233.0</v>
      </c>
      <c r="E98" s="1">
        <v>10139.0</v>
      </c>
      <c r="F98" s="1" t="s">
        <v>293</v>
      </c>
      <c r="G98" s="1" t="str">
        <f>IFERROR(__xludf.DUMMYFUNCTION("GOOGLETRANSLATE(F98, ""de"", ""uk"")"),"З 1882 року Кільський тиждень є найбільшою вітрильною подією у світі; Регати та морський фестиваль оживляють фіорд на тиждень.")</f>
        <v>З 1882 року Кільський тиждень є найбільшою вітрильною подією у світі; Регати та морський фестиваль оживляють фіорд на тиждень.</v>
      </c>
    </row>
    <row r="99" ht="15.75" customHeight="1">
      <c r="A99" s="1">
        <v>98.0</v>
      </c>
      <c r="B99" s="1" t="s">
        <v>294</v>
      </c>
      <c r="C99" s="1" t="s">
        <v>295</v>
      </c>
      <c r="D99" s="1">
        <v>543433.0</v>
      </c>
      <c r="E99" s="1">
        <v>101247.0</v>
      </c>
      <c r="F99" s="1" t="s">
        <v>296</v>
      </c>
      <c r="G99" s="1" t="str">
        <f>IFERROR(__xludf.DUMMYFUNCTION("GOOGLETRANSLATE(F99, ""de"", ""uk"")"),"Кільський фізик Макс Планк (1858–1947) заснував сучасну фізику своєю квантовою теорією.")</f>
        <v>Кільський фізик Макс Планк (1858–1947) заснував сучасну фізику своєю квантовою теорією.</v>
      </c>
    </row>
    <row r="100" ht="15.75" customHeight="1">
      <c r="A100" s="1">
        <v>99.0</v>
      </c>
      <c r="B100" s="1" t="s">
        <v>297</v>
      </c>
      <c r="C100" s="1" t="s">
        <v>298</v>
      </c>
      <c r="D100" s="1">
        <v>549063.0</v>
      </c>
      <c r="E100" s="1">
        <v>83028.0</v>
      </c>
      <c r="F100" s="1" t="s">
        <v>299</v>
      </c>
      <c r="G100" s="1" t="str">
        <f>IFERROR(__xludf.DUMMYFUNCTION("GOOGLETRANSLATE(F100, ""de"", ""uk"")"),"Зюльт поєднує в собі спа-традиції, нескінченні піщані пляжі та стиль знаменитості; Пляжні шезлонги та солом’яні села характеризують найвідоміший німецький острів у Північному морі.")</f>
        <v>Зюльт поєднує в собі спа-традиції, нескінченні піщані пляжі та стиль знаменитості; Пляжні шезлонги та солом’яні села характеризують найвідоміший німецький острів у Північному морі.</v>
      </c>
    </row>
    <row r="101" ht="15.75" customHeight="1">
      <c r="A101" s="1">
        <v>100.0</v>
      </c>
      <c r="B101" s="1" t="s">
        <v>300</v>
      </c>
      <c r="C101" s="1" t="s">
        <v>301</v>
      </c>
      <c r="D101" s="1">
        <v>521317.0</v>
      </c>
      <c r="E101" s="1">
        <v>116394.0</v>
      </c>
      <c r="F101" s="1" t="s">
        <v>302</v>
      </c>
      <c r="G101" s="1" t="str">
        <f>IFERROR(__xludf.DUMMYFUNCTION("GOOGLETRANSLATE(F101, ""de"", ""uk"")"),"Художній музей у монастирі Богоматері поєднує романську архітектуру з міжнародним сучасним мистецтвом – символом сучасного Магдебурга.")</f>
        <v>Художній музей у монастирі Богоматері поєднує романську архітектуру з міжнародним сучасним мистецтвом – символом сучасного Магдебурга.</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27.43"/>
    <col customWidth="1" min="3" max="3" width="38.0"/>
    <col customWidth="1" min="4" max="4" width="10.57"/>
    <col customWidth="1" min="5" max="5" width="12.14"/>
    <col customWidth="1" min="6" max="6" width="81.14"/>
    <col customWidth="1" min="7" max="26" width="10.71"/>
  </cols>
  <sheetData>
    <row r="1">
      <c r="A1" s="1" t="s">
        <v>0</v>
      </c>
      <c r="B1" s="1" t="s">
        <v>1</v>
      </c>
      <c r="C1" s="1" t="s">
        <v>2</v>
      </c>
      <c r="D1" s="1" t="s">
        <v>3</v>
      </c>
      <c r="E1" s="1" t="s">
        <v>4</v>
      </c>
      <c r="F1" s="1" t="s">
        <v>303</v>
      </c>
    </row>
    <row r="2">
      <c r="A2" s="1">
        <v>1.0</v>
      </c>
      <c r="B2" s="1" t="s">
        <v>6</v>
      </c>
      <c r="C2" s="1" t="s">
        <v>304</v>
      </c>
      <c r="D2" s="1">
        <v>501096.0</v>
      </c>
      <c r="E2" s="1">
        <v>86724.0</v>
      </c>
      <c r="F2" s="1" t="s">
        <v>305</v>
      </c>
    </row>
    <row r="3">
      <c r="A3" s="1">
        <v>2.0</v>
      </c>
      <c r="B3" s="1" t="s">
        <v>9</v>
      </c>
      <c r="C3" s="1" t="s">
        <v>306</v>
      </c>
      <c r="D3" s="1">
        <v>501106.0</v>
      </c>
      <c r="E3" s="1">
        <v>86821.0</v>
      </c>
      <c r="F3" s="1" t="s">
        <v>307</v>
      </c>
    </row>
    <row r="4">
      <c r="A4" s="1">
        <v>3.0</v>
      </c>
      <c r="B4" s="1" t="s">
        <v>12</v>
      </c>
      <c r="C4" s="1" t="s">
        <v>308</v>
      </c>
      <c r="D4" s="1">
        <v>500826.0</v>
      </c>
      <c r="E4" s="1">
        <v>82435.0</v>
      </c>
      <c r="F4" s="1" t="s">
        <v>309</v>
      </c>
    </row>
    <row r="5">
      <c r="A5" s="1">
        <v>4.0</v>
      </c>
      <c r="B5" s="1" t="s">
        <v>15</v>
      </c>
      <c r="C5" s="1" t="s">
        <v>310</v>
      </c>
      <c r="D5" s="1">
        <v>499983.0</v>
      </c>
      <c r="E5" s="1">
        <v>82711.0</v>
      </c>
      <c r="F5" s="1" t="s">
        <v>311</v>
      </c>
    </row>
    <row r="6">
      <c r="A6" s="1">
        <v>5.0</v>
      </c>
      <c r="B6" s="1" t="s">
        <v>18</v>
      </c>
      <c r="C6" s="1" t="s">
        <v>312</v>
      </c>
      <c r="D6" s="1">
        <v>499992.0</v>
      </c>
      <c r="E6" s="1">
        <v>79433.0</v>
      </c>
      <c r="F6" s="1" t="s">
        <v>313</v>
      </c>
    </row>
    <row r="7">
      <c r="A7" s="1">
        <v>6.0</v>
      </c>
      <c r="B7" s="1" t="s">
        <v>21</v>
      </c>
      <c r="C7" s="1" t="s">
        <v>314</v>
      </c>
      <c r="D7" s="1">
        <v>49804.0</v>
      </c>
      <c r="E7" s="1">
        <v>7967.0</v>
      </c>
      <c r="F7" s="1" t="s">
        <v>315</v>
      </c>
    </row>
    <row r="8">
      <c r="A8" s="1">
        <v>7.0</v>
      </c>
      <c r="B8" s="1" t="s">
        <v>24</v>
      </c>
      <c r="C8" s="1" t="s">
        <v>316</v>
      </c>
      <c r="D8" s="1">
        <v>501389.0</v>
      </c>
      <c r="E8" s="1">
        <v>77089.0</v>
      </c>
      <c r="F8" s="1" t="s">
        <v>26</v>
      </c>
    </row>
    <row r="9">
      <c r="A9" s="1">
        <v>8.0</v>
      </c>
      <c r="B9" s="1" t="s">
        <v>27</v>
      </c>
      <c r="C9" s="1" t="s">
        <v>317</v>
      </c>
      <c r="D9" s="1">
        <v>501172.0</v>
      </c>
      <c r="E9" s="1">
        <v>76071.0</v>
      </c>
      <c r="F9" s="1" t="s">
        <v>318</v>
      </c>
    </row>
    <row r="10">
      <c r="A10" s="1">
        <v>9.0</v>
      </c>
      <c r="B10" s="1" t="s">
        <v>30</v>
      </c>
      <c r="C10" s="1" t="s">
        <v>319</v>
      </c>
      <c r="D10" s="1">
        <v>503569.0</v>
      </c>
      <c r="E10" s="1">
        <v>75881.0</v>
      </c>
      <c r="F10" s="1" t="s">
        <v>320</v>
      </c>
    </row>
    <row r="11">
      <c r="A11" s="1">
        <v>10.0</v>
      </c>
      <c r="B11" s="1" t="s">
        <v>33</v>
      </c>
      <c r="C11" s="1" t="s">
        <v>321</v>
      </c>
      <c r="D11" s="1">
        <v>503341.0</v>
      </c>
      <c r="E11" s="1">
        <v>69476.0</v>
      </c>
      <c r="F11" s="1" t="s">
        <v>322</v>
      </c>
    </row>
    <row r="12">
      <c r="A12" s="1">
        <v>11.0</v>
      </c>
      <c r="B12" s="1" t="s">
        <v>36</v>
      </c>
      <c r="C12" s="1" t="s">
        <v>323</v>
      </c>
      <c r="D12" s="1">
        <v>507368.0</v>
      </c>
      <c r="E12" s="1">
        <v>7101.0</v>
      </c>
      <c r="F12" s="1" t="s">
        <v>324</v>
      </c>
    </row>
    <row r="13">
      <c r="A13" s="1">
        <v>12.0</v>
      </c>
      <c r="B13" s="1" t="s">
        <v>325</v>
      </c>
      <c r="C13" s="1" t="s">
        <v>326</v>
      </c>
      <c r="D13" s="1">
        <v>509403.0</v>
      </c>
      <c r="E13" s="1">
        <v>6957.0</v>
      </c>
      <c r="F13" s="1" t="s">
        <v>327</v>
      </c>
    </row>
    <row r="14">
      <c r="A14" s="1">
        <v>13.0</v>
      </c>
      <c r="B14" s="1" t="s">
        <v>42</v>
      </c>
      <c r="C14" s="1" t="s">
        <v>328</v>
      </c>
      <c r="D14" s="1">
        <v>509413.0</v>
      </c>
      <c r="E14" s="1">
        <v>69583.0</v>
      </c>
      <c r="F14" s="1" t="s">
        <v>329</v>
      </c>
    </row>
    <row r="15">
      <c r="A15" s="1">
        <v>14.0</v>
      </c>
      <c r="B15" s="1" t="s">
        <v>45</v>
      </c>
      <c r="C15" s="1" t="s">
        <v>330</v>
      </c>
      <c r="D15" s="1">
        <v>512275.0</v>
      </c>
      <c r="E15" s="1">
        <v>6937.0</v>
      </c>
      <c r="F15" s="1" t="s">
        <v>331</v>
      </c>
    </row>
    <row r="16">
      <c r="A16" s="1">
        <v>15.0</v>
      </c>
      <c r="B16" s="1" t="s">
        <v>48</v>
      </c>
      <c r="C16" s="1" t="s">
        <v>332</v>
      </c>
      <c r="D16" s="1">
        <v>512277.0</v>
      </c>
      <c r="E16" s="1">
        <v>67735.0</v>
      </c>
      <c r="F16" s="1" t="s">
        <v>333</v>
      </c>
    </row>
    <row r="17">
      <c r="A17" s="1">
        <v>16.0</v>
      </c>
      <c r="B17" s="1" t="s">
        <v>51</v>
      </c>
      <c r="C17" s="1" t="s">
        <v>334</v>
      </c>
      <c r="D17" s="1">
        <v>514344.0</v>
      </c>
      <c r="E17" s="1">
        <v>67573.0</v>
      </c>
      <c r="F17" s="1" t="s">
        <v>335</v>
      </c>
    </row>
    <row r="18">
      <c r="A18" s="1">
        <v>17.0</v>
      </c>
      <c r="B18" s="1" t="s">
        <v>54</v>
      </c>
      <c r="C18" s="1" t="s">
        <v>336</v>
      </c>
      <c r="D18" s="1">
        <v>514839.0</v>
      </c>
      <c r="E18" s="1">
        <v>70226.0</v>
      </c>
      <c r="F18" s="1" t="s">
        <v>56</v>
      </c>
    </row>
    <row r="19">
      <c r="A19" s="1">
        <v>18.0</v>
      </c>
      <c r="B19" s="1" t="s">
        <v>57</v>
      </c>
      <c r="C19" s="1" t="s">
        <v>337</v>
      </c>
      <c r="D19" s="1">
        <v>5149.0</v>
      </c>
      <c r="E19" s="1">
        <v>70375.0</v>
      </c>
      <c r="F19" s="1" t="s">
        <v>338</v>
      </c>
    </row>
    <row r="20">
      <c r="A20" s="1">
        <v>19.0</v>
      </c>
      <c r="B20" s="1" t="s">
        <v>339</v>
      </c>
      <c r="C20" s="1" t="s">
        <v>340</v>
      </c>
      <c r="D20" s="1">
        <v>514925.0</v>
      </c>
      <c r="E20" s="1">
        <v>74517.0</v>
      </c>
      <c r="F20" s="1" t="s">
        <v>341</v>
      </c>
    </row>
    <row r="21" ht="15.75" customHeight="1">
      <c r="A21" s="1">
        <v>20.0</v>
      </c>
      <c r="B21" s="1" t="s">
        <v>342</v>
      </c>
      <c r="C21" s="1" t="s">
        <v>343</v>
      </c>
      <c r="D21" s="1">
        <v>519628.0</v>
      </c>
      <c r="E21" s="1">
        <v>76254.0</v>
      </c>
      <c r="F21" s="1" t="s">
        <v>344</v>
      </c>
    </row>
    <row r="22" ht="15.75" customHeight="1">
      <c r="A22" s="1">
        <v>21.0</v>
      </c>
      <c r="B22" s="1" t="s">
        <v>66</v>
      </c>
      <c r="C22" s="1" t="s">
        <v>345</v>
      </c>
      <c r="D22" s="1">
        <v>520302.0</v>
      </c>
      <c r="E22" s="1">
        <v>85325.0</v>
      </c>
      <c r="F22" s="1" t="s">
        <v>346</v>
      </c>
    </row>
    <row r="23" ht="15.75" customHeight="1">
      <c r="A23" s="1">
        <v>22.0</v>
      </c>
      <c r="B23" s="1" t="s">
        <v>69</v>
      </c>
      <c r="C23" s="1" t="s">
        <v>347</v>
      </c>
      <c r="D23" s="1">
        <v>523759.0</v>
      </c>
      <c r="E23" s="1">
        <v>9732.0</v>
      </c>
      <c r="F23" s="1" t="s">
        <v>348</v>
      </c>
    </row>
    <row r="24" ht="15.75" customHeight="1">
      <c r="A24" s="1">
        <v>23.0</v>
      </c>
      <c r="B24" s="1" t="s">
        <v>72</v>
      </c>
      <c r="C24" s="1" t="s">
        <v>349</v>
      </c>
      <c r="D24" s="1">
        <v>523759.0</v>
      </c>
      <c r="E24" s="1">
        <v>9732.0</v>
      </c>
      <c r="F24" s="1" t="s">
        <v>350</v>
      </c>
    </row>
    <row r="25" ht="15.75" customHeight="1">
      <c r="A25" s="1">
        <v>24.0</v>
      </c>
      <c r="B25" s="1" t="s">
        <v>75</v>
      </c>
      <c r="C25" s="1" t="s">
        <v>351</v>
      </c>
      <c r="D25" s="1">
        <v>523728.0</v>
      </c>
      <c r="E25" s="1">
        <v>97441.0</v>
      </c>
      <c r="F25" s="1" t="s">
        <v>77</v>
      </c>
    </row>
    <row r="26" ht="15.75" customHeight="1">
      <c r="A26" s="1">
        <v>25.0</v>
      </c>
      <c r="B26" s="1" t="s">
        <v>78</v>
      </c>
      <c r="C26" s="1" t="s">
        <v>352</v>
      </c>
      <c r="D26" s="1">
        <v>523909.0</v>
      </c>
      <c r="E26" s="1">
        <v>97335.0</v>
      </c>
      <c r="F26" s="1" t="s">
        <v>353</v>
      </c>
    </row>
    <row r="27" ht="15.75" customHeight="1">
      <c r="A27" s="1">
        <v>26.0</v>
      </c>
      <c r="B27" s="1" t="s">
        <v>354</v>
      </c>
      <c r="C27" s="1" t="s">
        <v>354</v>
      </c>
      <c r="D27" s="1">
        <v>522689.0</v>
      </c>
      <c r="E27" s="1">
        <v>105268.0</v>
      </c>
      <c r="F27" s="1" t="s">
        <v>355</v>
      </c>
    </row>
    <row r="28" ht="15.75" customHeight="1">
      <c r="A28" s="1">
        <v>27.0</v>
      </c>
      <c r="B28" s="1" t="s">
        <v>83</v>
      </c>
      <c r="C28" s="1" t="s">
        <v>356</v>
      </c>
      <c r="D28" s="1">
        <v>524224.0</v>
      </c>
      <c r="E28" s="1">
        <v>107864.0</v>
      </c>
      <c r="F28" s="1" t="s">
        <v>357</v>
      </c>
    </row>
    <row r="29" ht="15.75" customHeight="1">
      <c r="A29" s="1">
        <v>28.0</v>
      </c>
      <c r="B29" s="1" t="s">
        <v>358</v>
      </c>
      <c r="C29" s="1" t="s">
        <v>359</v>
      </c>
      <c r="D29" s="1">
        <v>524225.0</v>
      </c>
      <c r="E29" s="1">
        <v>107864.0</v>
      </c>
      <c r="F29" s="1" t="s">
        <v>360</v>
      </c>
    </row>
    <row r="30" ht="15.75" customHeight="1">
      <c r="A30" s="1">
        <v>29.0</v>
      </c>
      <c r="B30" s="1" t="s">
        <v>89</v>
      </c>
      <c r="C30" s="1" t="s">
        <v>361</v>
      </c>
      <c r="D30" s="1">
        <v>519045.0</v>
      </c>
      <c r="E30" s="1">
        <v>104297.0</v>
      </c>
      <c r="F30" s="1" t="s">
        <v>91</v>
      </c>
    </row>
    <row r="31" ht="15.75" customHeight="1">
      <c r="A31" s="1">
        <v>30.0</v>
      </c>
      <c r="B31" s="1" t="s">
        <v>362</v>
      </c>
      <c r="C31" s="1" t="s">
        <v>363</v>
      </c>
      <c r="D31" s="1">
        <v>515403.0</v>
      </c>
      <c r="E31" s="1">
        <v>99357.0</v>
      </c>
      <c r="F31" s="1" t="s">
        <v>364</v>
      </c>
    </row>
    <row r="32" ht="15.75" customHeight="1">
      <c r="A32" s="1">
        <v>31.0</v>
      </c>
      <c r="B32" s="1" t="s">
        <v>365</v>
      </c>
      <c r="C32" s="1" t="s">
        <v>366</v>
      </c>
      <c r="D32" s="1">
        <v>513155.0</v>
      </c>
      <c r="E32" s="1">
        <v>94962.0</v>
      </c>
      <c r="F32" s="1" t="s">
        <v>367</v>
      </c>
    </row>
    <row r="33" ht="15.75" customHeight="1">
      <c r="A33" s="1">
        <v>32.0</v>
      </c>
      <c r="B33" s="1" t="s">
        <v>98</v>
      </c>
      <c r="C33" s="1" t="s">
        <v>368</v>
      </c>
      <c r="D33" s="1">
        <v>513118.0</v>
      </c>
      <c r="E33" s="1">
        <v>9497.0</v>
      </c>
      <c r="F33" s="1" t="s">
        <v>369</v>
      </c>
    </row>
    <row r="34" ht="15.75" customHeight="1">
      <c r="A34" s="1">
        <v>33.0</v>
      </c>
      <c r="B34" s="1" t="s">
        <v>101</v>
      </c>
      <c r="C34" s="1" t="s">
        <v>370</v>
      </c>
      <c r="D34" s="1">
        <v>513116.0</v>
      </c>
      <c r="E34" s="1">
        <v>94797.0</v>
      </c>
      <c r="F34" s="1" t="s">
        <v>371</v>
      </c>
    </row>
    <row r="35" ht="15.75" customHeight="1">
      <c r="A35" s="1">
        <v>34.0</v>
      </c>
      <c r="B35" s="1" t="s">
        <v>104</v>
      </c>
      <c r="C35" s="1" t="s">
        <v>372</v>
      </c>
      <c r="D35" s="1">
        <v>509711.0</v>
      </c>
      <c r="E35" s="1">
        <v>103277.0</v>
      </c>
      <c r="F35" s="1" t="s">
        <v>373</v>
      </c>
    </row>
    <row r="36" ht="15.75" customHeight="1">
      <c r="A36" s="1">
        <v>35.0</v>
      </c>
      <c r="B36" s="1" t="s">
        <v>107</v>
      </c>
      <c r="C36" s="1" t="s">
        <v>374</v>
      </c>
      <c r="D36" s="1">
        <v>509848.0</v>
      </c>
      <c r="E36" s="1">
        <v>110299.0</v>
      </c>
      <c r="F36" s="1" t="s">
        <v>375</v>
      </c>
    </row>
    <row r="37" ht="15.75" customHeight="1">
      <c r="A37" s="1">
        <v>36.0</v>
      </c>
      <c r="B37" s="1" t="s">
        <v>110</v>
      </c>
      <c r="C37" s="1" t="s">
        <v>376</v>
      </c>
      <c r="D37" s="1">
        <v>509795.0</v>
      </c>
      <c r="E37" s="1">
        <v>11329.0</v>
      </c>
      <c r="F37" s="1" t="s">
        <v>377</v>
      </c>
    </row>
    <row r="38" ht="15.75" customHeight="1">
      <c r="A38" s="1">
        <v>37.0</v>
      </c>
      <c r="B38" s="1" t="s">
        <v>113</v>
      </c>
      <c r="C38" s="1" t="s">
        <v>378</v>
      </c>
      <c r="D38" s="1">
        <v>509793.0</v>
      </c>
      <c r="E38" s="1">
        <v>113292.0</v>
      </c>
      <c r="F38" s="1" t="s">
        <v>379</v>
      </c>
    </row>
    <row r="39" ht="15.75" customHeight="1">
      <c r="A39" s="1">
        <v>38.0</v>
      </c>
      <c r="B39" s="1" t="s">
        <v>116</v>
      </c>
      <c r="C39" s="1" t="s">
        <v>380</v>
      </c>
      <c r="D39" s="1">
        <v>505451.0</v>
      </c>
      <c r="E39" s="1">
        <v>112147.0</v>
      </c>
      <c r="F39" s="1" t="s">
        <v>381</v>
      </c>
    </row>
    <row r="40" ht="15.75" customHeight="1">
      <c r="A40" s="1">
        <v>39.0</v>
      </c>
      <c r="B40" s="1" t="s">
        <v>119</v>
      </c>
      <c r="C40" s="1" t="s">
        <v>382</v>
      </c>
      <c r="D40" s="1">
        <v>505477.0</v>
      </c>
      <c r="E40" s="1">
        <v>111681.0</v>
      </c>
      <c r="F40" s="1" t="s">
        <v>383</v>
      </c>
    </row>
    <row r="41" ht="15.75" customHeight="1">
      <c r="A41" s="1">
        <v>40.0</v>
      </c>
      <c r="B41" s="1" t="s">
        <v>122</v>
      </c>
      <c r="C41" s="1" t="s">
        <v>384</v>
      </c>
      <c r="D41" s="1">
        <v>502599.0</v>
      </c>
      <c r="E41" s="1">
        <v>109644.0</v>
      </c>
      <c r="F41" s="1" t="s">
        <v>385</v>
      </c>
    </row>
    <row r="42" ht="15.75" customHeight="1">
      <c r="A42" s="1">
        <v>41.0</v>
      </c>
      <c r="B42" s="1" t="s">
        <v>125</v>
      </c>
      <c r="C42" s="1" t="s">
        <v>386</v>
      </c>
      <c r="D42" s="1">
        <v>501011.0</v>
      </c>
      <c r="E42" s="1">
        <v>11438.0</v>
      </c>
      <c r="F42" s="1" t="s">
        <v>387</v>
      </c>
    </row>
    <row r="43" ht="15.75" customHeight="1">
      <c r="A43" s="1">
        <v>42.0</v>
      </c>
      <c r="B43" s="1" t="s">
        <v>128</v>
      </c>
      <c r="C43" s="1" t="s">
        <v>388</v>
      </c>
      <c r="D43" s="1">
        <v>501011.0</v>
      </c>
      <c r="E43" s="1">
        <v>11438.0</v>
      </c>
      <c r="F43" s="1" t="s">
        <v>389</v>
      </c>
    </row>
    <row r="44" ht="15.75" customHeight="1">
      <c r="A44" s="1">
        <v>43.0</v>
      </c>
      <c r="B44" s="1" t="s">
        <v>131</v>
      </c>
      <c r="C44" s="1" t="s">
        <v>390</v>
      </c>
      <c r="D44" s="1">
        <v>499487.0</v>
      </c>
      <c r="E44" s="1">
        <v>11576.0</v>
      </c>
      <c r="F44" s="1" t="s">
        <v>391</v>
      </c>
    </row>
    <row r="45" ht="15.75" customHeight="1">
      <c r="A45" s="1">
        <v>44.0</v>
      </c>
      <c r="B45" s="1" t="s">
        <v>134</v>
      </c>
      <c r="C45" s="1" t="s">
        <v>392</v>
      </c>
      <c r="D45" s="1">
        <v>499451.0</v>
      </c>
      <c r="E45" s="1">
        <v>115908.0</v>
      </c>
      <c r="F45" s="1" t="s">
        <v>393</v>
      </c>
    </row>
    <row r="46" ht="15.75" customHeight="1">
      <c r="A46" s="1">
        <v>45.0</v>
      </c>
      <c r="B46" s="1" t="s">
        <v>394</v>
      </c>
      <c r="C46" s="1" t="s">
        <v>395</v>
      </c>
      <c r="D46" s="1">
        <v>497631.0</v>
      </c>
      <c r="E46" s="1">
        <v>114062.0</v>
      </c>
      <c r="F46" s="1" t="s">
        <v>396</v>
      </c>
    </row>
    <row r="47" ht="15.75" customHeight="1">
      <c r="A47" s="1">
        <v>46.0</v>
      </c>
      <c r="B47" s="1" t="s">
        <v>140</v>
      </c>
      <c r="C47" s="1" t="s">
        <v>397</v>
      </c>
      <c r="D47" s="1">
        <v>498917.0</v>
      </c>
      <c r="E47" s="1">
        <v>108852.0</v>
      </c>
      <c r="F47" s="1" t="s">
        <v>398</v>
      </c>
    </row>
    <row r="48" ht="15.75" customHeight="1">
      <c r="A48" s="1">
        <v>47.0</v>
      </c>
      <c r="B48" s="1" t="s">
        <v>143</v>
      </c>
      <c r="C48" s="1" t="s">
        <v>399</v>
      </c>
      <c r="D48" s="1">
        <v>494542.0</v>
      </c>
      <c r="E48" s="1">
        <v>110773.0</v>
      </c>
      <c r="F48" s="1" t="s">
        <v>400</v>
      </c>
    </row>
    <row r="49" ht="15.75" customHeight="1">
      <c r="A49" s="1">
        <v>48.0</v>
      </c>
      <c r="B49" s="1" t="s">
        <v>146</v>
      </c>
      <c r="C49" s="1" t="s">
        <v>401</v>
      </c>
      <c r="D49" s="1">
        <v>494528.0</v>
      </c>
      <c r="E49" s="1">
        <v>11078.0</v>
      </c>
      <c r="F49" s="1" t="s">
        <v>402</v>
      </c>
    </row>
    <row r="50" ht="15.75" customHeight="1">
      <c r="A50" s="1">
        <v>49.0</v>
      </c>
      <c r="B50" s="1" t="s">
        <v>149</v>
      </c>
      <c r="C50" s="1" t="s">
        <v>403</v>
      </c>
      <c r="D50" s="1">
        <v>48765.0</v>
      </c>
      <c r="E50" s="1">
        <v>114257.0</v>
      </c>
      <c r="F50" s="1" t="s">
        <v>404</v>
      </c>
    </row>
    <row r="51" ht="15.75" customHeight="1">
      <c r="A51" s="1">
        <v>50.0</v>
      </c>
      <c r="B51" s="1" t="s">
        <v>405</v>
      </c>
      <c r="C51" s="1" t="s">
        <v>406</v>
      </c>
      <c r="D51" s="1">
        <v>482188.0</v>
      </c>
      <c r="E51" s="1">
        <v>116247.0</v>
      </c>
      <c r="F51" s="1" t="s">
        <v>407</v>
      </c>
    </row>
    <row r="52" ht="15.75" customHeight="1">
      <c r="A52" s="1">
        <v>51.0</v>
      </c>
      <c r="B52" s="1" t="s">
        <v>155</v>
      </c>
      <c r="C52" s="1" t="s">
        <v>408</v>
      </c>
      <c r="D52" s="1">
        <v>48174.0</v>
      </c>
      <c r="E52" s="1">
        <v>11546.0</v>
      </c>
      <c r="F52" s="1" t="s">
        <v>409</v>
      </c>
    </row>
    <row r="53" ht="15.75" customHeight="1">
      <c r="A53" s="1">
        <v>52.0</v>
      </c>
      <c r="B53" s="1" t="s">
        <v>158</v>
      </c>
      <c r="C53" s="1" t="s">
        <v>410</v>
      </c>
      <c r="D53" s="1">
        <v>4815.0</v>
      </c>
      <c r="E53" s="1">
        <v>1158.0</v>
      </c>
      <c r="F53" s="1" t="s">
        <v>411</v>
      </c>
    </row>
    <row r="54" ht="15.75" customHeight="1">
      <c r="A54" s="1">
        <v>53.0</v>
      </c>
      <c r="B54" s="1" t="s">
        <v>161</v>
      </c>
      <c r="C54" s="1" t="s">
        <v>412</v>
      </c>
      <c r="D54" s="1">
        <v>481312.0</v>
      </c>
      <c r="E54" s="1">
        <v>115497.0</v>
      </c>
      <c r="F54" s="1" t="s">
        <v>413</v>
      </c>
    </row>
    <row r="55" ht="15.75" customHeight="1">
      <c r="A55" s="1">
        <v>54.0</v>
      </c>
      <c r="B55" s="1" t="s">
        <v>164</v>
      </c>
      <c r="C55" s="1" t="s">
        <v>414</v>
      </c>
      <c r="D55" s="1">
        <v>475576.0</v>
      </c>
      <c r="E55" s="1">
        <v>107498.0</v>
      </c>
      <c r="F55" s="1" t="s">
        <v>415</v>
      </c>
    </row>
    <row r="56" ht="15.75" customHeight="1">
      <c r="A56" s="1">
        <v>55.0</v>
      </c>
      <c r="B56" s="1" t="s">
        <v>167</v>
      </c>
      <c r="C56" s="1" t="s">
        <v>416</v>
      </c>
      <c r="D56" s="1">
        <v>476514.0</v>
      </c>
      <c r="E56" s="1">
        <v>9478.0</v>
      </c>
      <c r="F56" s="1" t="s">
        <v>417</v>
      </c>
    </row>
    <row r="57" ht="15.75" customHeight="1">
      <c r="A57" s="1">
        <v>56.0</v>
      </c>
      <c r="B57" s="1" t="s">
        <v>170</v>
      </c>
      <c r="C57" s="1" t="s">
        <v>418</v>
      </c>
      <c r="D57" s="1">
        <v>484011.0</v>
      </c>
      <c r="E57" s="1">
        <v>99876.0</v>
      </c>
      <c r="F57" s="1" t="s">
        <v>419</v>
      </c>
    </row>
    <row r="58" ht="15.75" customHeight="1">
      <c r="A58" s="1">
        <v>57.0</v>
      </c>
      <c r="B58" s="1" t="s">
        <v>173</v>
      </c>
      <c r="C58" s="1" t="s">
        <v>420</v>
      </c>
      <c r="D58" s="1">
        <v>487904.0</v>
      </c>
      <c r="E58" s="1">
        <v>92183.0</v>
      </c>
      <c r="F58" s="1" t="s">
        <v>421</v>
      </c>
    </row>
    <row r="59" ht="15.75" customHeight="1">
      <c r="A59" s="1">
        <v>58.0</v>
      </c>
      <c r="B59" s="1" t="s">
        <v>422</v>
      </c>
      <c r="C59" s="1" t="s">
        <v>422</v>
      </c>
      <c r="D59" s="1">
        <v>494106.0</v>
      </c>
      <c r="E59" s="1">
        <v>87151.0</v>
      </c>
      <c r="F59" s="1" t="s">
        <v>423</v>
      </c>
    </row>
    <row r="60" ht="15.75" customHeight="1">
      <c r="A60" s="1">
        <v>59.0</v>
      </c>
      <c r="B60" s="1" t="s">
        <v>178</v>
      </c>
      <c r="C60" s="1" t="s">
        <v>424</v>
      </c>
      <c r="D60" s="1">
        <v>494875.0</v>
      </c>
      <c r="E60" s="1">
        <v>8466.0</v>
      </c>
      <c r="F60" s="1" t="s">
        <v>425</v>
      </c>
    </row>
    <row r="61" ht="15.75" customHeight="1">
      <c r="A61" s="1">
        <v>60.0</v>
      </c>
      <c r="B61" s="1" t="s">
        <v>181</v>
      </c>
      <c r="C61" s="1" t="s">
        <v>426</v>
      </c>
      <c r="D61" s="1">
        <v>497913.0</v>
      </c>
      <c r="E61" s="1">
        <v>99534.0</v>
      </c>
      <c r="F61" s="1" t="s">
        <v>427</v>
      </c>
    </row>
    <row r="62" ht="15.75" customHeight="1">
      <c r="A62" s="1">
        <v>61.0</v>
      </c>
      <c r="B62" s="1" t="s">
        <v>428</v>
      </c>
      <c r="C62" s="1" t="s">
        <v>429</v>
      </c>
      <c r="D62" s="1">
        <v>481275.0</v>
      </c>
      <c r="E62" s="1">
        <v>82364.0</v>
      </c>
      <c r="F62" s="1" t="s">
        <v>430</v>
      </c>
    </row>
    <row r="63" ht="15.75" customHeight="1">
      <c r="A63" s="1">
        <v>62.0</v>
      </c>
      <c r="B63" s="1" t="s">
        <v>187</v>
      </c>
      <c r="C63" s="1" t="s">
        <v>431</v>
      </c>
      <c r="D63" s="1">
        <v>507753.0</v>
      </c>
      <c r="E63" s="1">
        <v>60839.0</v>
      </c>
      <c r="F63" s="1" t="s">
        <v>432</v>
      </c>
    </row>
    <row r="64" ht="15.75" customHeight="1">
      <c r="A64" s="1">
        <v>63.0</v>
      </c>
      <c r="B64" s="1" t="s">
        <v>190</v>
      </c>
      <c r="C64" s="1" t="s">
        <v>433</v>
      </c>
      <c r="D64" s="1">
        <v>50776.0</v>
      </c>
      <c r="E64" s="1">
        <v>60839.0</v>
      </c>
      <c r="F64" s="1" t="s">
        <v>434</v>
      </c>
    </row>
    <row r="65" ht="15.75" customHeight="1">
      <c r="A65" s="1">
        <v>64.0</v>
      </c>
      <c r="B65" s="1" t="s">
        <v>193</v>
      </c>
      <c r="C65" s="1" t="s">
        <v>435</v>
      </c>
      <c r="D65" s="1">
        <v>515281.0</v>
      </c>
      <c r="E65" s="1">
        <v>115487.0</v>
      </c>
      <c r="F65" s="1" t="s">
        <v>436</v>
      </c>
    </row>
    <row r="66" ht="15.75" customHeight="1">
      <c r="A66" s="1">
        <v>65.0</v>
      </c>
      <c r="B66" s="1" t="s">
        <v>437</v>
      </c>
      <c r="C66" s="1" t="s">
        <v>438</v>
      </c>
      <c r="D66" s="1">
        <v>518349.0</v>
      </c>
      <c r="E66" s="1">
        <v>122424.0</v>
      </c>
      <c r="F66" s="1" t="s">
        <v>439</v>
      </c>
    </row>
    <row r="67" ht="15.75" customHeight="1">
      <c r="A67" s="1">
        <v>66.0</v>
      </c>
      <c r="B67" s="1" t="s">
        <v>440</v>
      </c>
      <c r="C67" s="1" t="s">
        <v>441</v>
      </c>
      <c r="D67" s="1">
        <v>518367.0</v>
      </c>
      <c r="E67" s="1">
        <v>122428.0</v>
      </c>
      <c r="F67" s="1" t="s">
        <v>442</v>
      </c>
    </row>
    <row r="68" ht="15.75" customHeight="1">
      <c r="A68" s="1">
        <v>67.0</v>
      </c>
      <c r="B68" s="1" t="s">
        <v>202</v>
      </c>
      <c r="C68" s="1" t="s">
        <v>443</v>
      </c>
      <c r="D68" s="1">
        <v>518661.0</v>
      </c>
      <c r="E68" s="1">
        <v>126477.0</v>
      </c>
      <c r="F68" s="1" t="s">
        <v>444</v>
      </c>
    </row>
    <row r="69" ht="15.75" customHeight="1">
      <c r="A69" s="1">
        <v>68.0</v>
      </c>
      <c r="B69" s="1" t="s">
        <v>205</v>
      </c>
      <c r="C69" s="1" t="s">
        <v>445</v>
      </c>
      <c r="D69" s="1">
        <v>513393.0</v>
      </c>
      <c r="E69" s="1">
        <v>123747.0</v>
      </c>
      <c r="F69" s="1" t="s">
        <v>446</v>
      </c>
    </row>
    <row r="70" ht="15.75" customHeight="1">
      <c r="A70" s="1">
        <v>69.0</v>
      </c>
      <c r="B70" s="1" t="s">
        <v>208</v>
      </c>
      <c r="C70" s="1" t="s">
        <v>447</v>
      </c>
      <c r="D70" s="1">
        <v>513388.0</v>
      </c>
      <c r="E70" s="1">
        <v>123723.0</v>
      </c>
      <c r="F70" s="1" t="s">
        <v>210</v>
      </c>
    </row>
    <row r="71" ht="15.75" customHeight="1">
      <c r="A71" s="1">
        <v>70.0</v>
      </c>
      <c r="B71" s="1" t="s">
        <v>448</v>
      </c>
      <c r="C71" s="1" t="s">
        <v>449</v>
      </c>
      <c r="D71" s="1">
        <v>513128.0</v>
      </c>
      <c r="E71" s="1">
        <v>124134.0</v>
      </c>
      <c r="F71" s="1" t="s">
        <v>450</v>
      </c>
    </row>
    <row r="72" ht="15.75" customHeight="1">
      <c r="A72" s="1">
        <v>71.0</v>
      </c>
      <c r="B72" s="1" t="s">
        <v>451</v>
      </c>
      <c r="C72" s="1" t="s">
        <v>452</v>
      </c>
      <c r="D72" s="1">
        <v>511642.0</v>
      </c>
      <c r="E72" s="1">
        <v>134827.0</v>
      </c>
      <c r="F72" s="1" t="s">
        <v>453</v>
      </c>
    </row>
    <row r="73" ht="15.75" customHeight="1">
      <c r="A73" s="1">
        <v>72.0</v>
      </c>
      <c r="B73" s="1" t="s">
        <v>217</v>
      </c>
      <c r="C73" s="1" t="s">
        <v>454</v>
      </c>
      <c r="D73" s="1">
        <v>523948.0</v>
      </c>
      <c r="E73" s="1">
        <v>130644.0</v>
      </c>
      <c r="F73" s="1" t="s">
        <v>455</v>
      </c>
    </row>
    <row r="74" ht="15.75" customHeight="1">
      <c r="A74" s="1">
        <v>73.0</v>
      </c>
      <c r="B74" s="1" t="s">
        <v>456</v>
      </c>
      <c r="C74" s="1" t="s">
        <v>457</v>
      </c>
      <c r="D74" s="1">
        <v>523969.0</v>
      </c>
      <c r="E74" s="1">
        <v>130586.0</v>
      </c>
      <c r="F74" s="1" t="s">
        <v>458</v>
      </c>
    </row>
    <row r="75" ht="15.75" customHeight="1">
      <c r="A75" s="1">
        <v>74.0</v>
      </c>
      <c r="B75" s="1" t="s">
        <v>223</v>
      </c>
      <c r="C75" s="1" t="s">
        <v>459</v>
      </c>
      <c r="D75" s="1">
        <v>524039.0</v>
      </c>
      <c r="E75" s="1">
        <v>130682.0</v>
      </c>
      <c r="F75" s="1" t="s">
        <v>460</v>
      </c>
    </row>
    <row r="76" ht="15.75" customHeight="1">
      <c r="A76" s="1">
        <v>75.0</v>
      </c>
      <c r="B76" s="1" t="s">
        <v>461</v>
      </c>
      <c r="C76" s="1" t="s">
        <v>462</v>
      </c>
      <c r="D76" s="1">
        <v>524731.0</v>
      </c>
      <c r="E76" s="1">
        <v>13403.0</v>
      </c>
      <c r="F76" s="1" t="s">
        <v>463</v>
      </c>
    </row>
    <row r="77" ht="15.75" customHeight="1">
      <c r="A77" s="1">
        <v>76.0</v>
      </c>
      <c r="B77" s="1" t="s">
        <v>229</v>
      </c>
      <c r="C77" s="1" t="s">
        <v>464</v>
      </c>
      <c r="D77" s="1">
        <v>525076.0</v>
      </c>
      <c r="E77" s="1">
        <v>133904.0</v>
      </c>
      <c r="F77" s="1" t="s">
        <v>465</v>
      </c>
    </row>
    <row r="78" ht="15.75" customHeight="1">
      <c r="A78" s="1">
        <v>77.0</v>
      </c>
      <c r="B78" s="1" t="s">
        <v>232</v>
      </c>
      <c r="C78" s="1" t="s">
        <v>466</v>
      </c>
      <c r="D78" s="1">
        <v>525163.0</v>
      </c>
      <c r="E78" s="1">
        <v>133777.0</v>
      </c>
      <c r="F78" s="1" t="s">
        <v>234</v>
      </c>
    </row>
    <row r="79" ht="15.75" customHeight="1">
      <c r="A79" s="1">
        <v>78.0</v>
      </c>
      <c r="B79" s="1" t="s">
        <v>235</v>
      </c>
      <c r="C79" s="1" t="s">
        <v>467</v>
      </c>
      <c r="D79" s="1">
        <v>525114.0</v>
      </c>
      <c r="E79" s="1">
        <v>13439.0</v>
      </c>
      <c r="F79" s="1" t="s">
        <v>468</v>
      </c>
    </row>
    <row r="80" ht="15.75" customHeight="1">
      <c r="A80" s="1">
        <v>79.0</v>
      </c>
      <c r="B80" s="1" t="s">
        <v>238</v>
      </c>
      <c r="C80" s="1" t="s">
        <v>469</v>
      </c>
      <c r="D80" s="1">
        <v>525045.0</v>
      </c>
      <c r="E80" s="1">
        <v>134408.0</v>
      </c>
      <c r="F80" s="1" t="s">
        <v>470</v>
      </c>
    </row>
    <row r="81" ht="15.75" customHeight="1">
      <c r="A81" s="1">
        <v>80.0</v>
      </c>
      <c r="B81" s="1" t="s">
        <v>241</v>
      </c>
      <c r="C81" s="1" t="s">
        <v>471</v>
      </c>
      <c r="D81" s="1">
        <v>53125.0</v>
      </c>
      <c r="E81" s="1">
        <v>13093.0</v>
      </c>
      <c r="F81" s="1" t="s">
        <v>472</v>
      </c>
    </row>
    <row r="82" ht="15.75" customHeight="1">
      <c r="A82" s="1">
        <v>81.0</v>
      </c>
      <c r="B82" s="1" t="s">
        <v>244</v>
      </c>
      <c r="C82" s="1" t="s">
        <v>473</v>
      </c>
      <c r="D82" s="1">
        <v>530913.0</v>
      </c>
      <c r="E82" s="1">
        <v>129084.0</v>
      </c>
      <c r="F82" s="1" t="s">
        <v>474</v>
      </c>
    </row>
    <row r="83" ht="15.75" customHeight="1">
      <c r="A83" s="1">
        <v>82.0</v>
      </c>
      <c r="B83" s="1" t="s">
        <v>475</v>
      </c>
      <c r="C83" s="1" t="s">
        <v>476</v>
      </c>
      <c r="D83" s="1">
        <v>535211.0</v>
      </c>
      <c r="E83" s="1">
        <v>126801.0</v>
      </c>
      <c r="F83" s="1" t="s">
        <v>477</v>
      </c>
    </row>
    <row r="84" ht="15.75" customHeight="1">
      <c r="A84" s="1">
        <v>83.0</v>
      </c>
      <c r="B84" s="1" t="s">
        <v>250</v>
      </c>
      <c r="C84" s="1" t="s">
        <v>478</v>
      </c>
      <c r="D84" s="1">
        <v>540865.0</v>
      </c>
      <c r="E84" s="1">
        <v>121095.0</v>
      </c>
      <c r="F84" s="1" t="s">
        <v>479</v>
      </c>
    </row>
    <row r="85" ht="15.75" customHeight="1">
      <c r="A85" s="1">
        <v>84.0</v>
      </c>
      <c r="B85" s="1" t="s">
        <v>253</v>
      </c>
      <c r="C85" s="1" t="s">
        <v>480</v>
      </c>
      <c r="D85" s="1">
        <v>543996.0</v>
      </c>
      <c r="E85" s="1">
        <v>124539.0</v>
      </c>
      <c r="F85" s="1" t="s">
        <v>481</v>
      </c>
    </row>
    <row r="86" ht="15.75" customHeight="1">
      <c r="A86" s="1">
        <v>85.0</v>
      </c>
      <c r="B86" s="1" t="s">
        <v>256</v>
      </c>
      <c r="C86" s="1" t="s">
        <v>482</v>
      </c>
      <c r="D86" s="1">
        <v>543126.0</v>
      </c>
      <c r="E86" s="1">
        <v>130929.0</v>
      </c>
      <c r="F86" s="1" t="s">
        <v>258</v>
      </c>
    </row>
    <row r="87" ht="15.75" customHeight="1">
      <c r="A87" s="1">
        <v>86.0</v>
      </c>
      <c r="B87" s="1" t="s">
        <v>259</v>
      </c>
      <c r="C87" s="1" t="s">
        <v>483</v>
      </c>
      <c r="D87" s="1">
        <v>540924.0</v>
      </c>
      <c r="E87" s="1">
        <v>134022.0</v>
      </c>
      <c r="F87" s="1" t="s">
        <v>484</v>
      </c>
    </row>
    <row r="88" ht="15.75" customHeight="1">
      <c r="A88" s="1">
        <v>87.0</v>
      </c>
      <c r="B88" s="1" t="s">
        <v>262</v>
      </c>
      <c r="C88" s="1" t="s">
        <v>485</v>
      </c>
      <c r="D88" s="1">
        <v>545406.0</v>
      </c>
      <c r="E88" s="1">
        <v>135747.0</v>
      </c>
      <c r="F88" s="1" t="s">
        <v>486</v>
      </c>
    </row>
    <row r="89" ht="15.75" customHeight="1">
      <c r="A89" s="1">
        <v>88.0</v>
      </c>
      <c r="B89" s="1" t="s">
        <v>487</v>
      </c>
      <c r="C89" s="1" t="s">
        <v>488</v>
      </c>
      <c r="D89" s="1">
        <v>540536.0</v>
      </c>
      <c r="E89" s="1">
        <v>142743.0</v>
      </c>
      <c r="F89" s="1" t="s">
        <v>489</v>
      </c>
    </row>
    <row r="90" ht="15.75" customHeight="1">
      <c r="A90" s="1">
        <v>89.0</v>
      </c>
      <c r="B90" s="1" t="s">
        <v>268</v>
      </c>
      <c r="C90" s="1" t="s">
        <v>490</v>
      </c>
      <c r="D90" s="1">
        <v>538923.0</v>
      </c>
      <c r="E90" s="1">
        <v>114628.0</v>
      </c>
      <c r="F90" s="1" t="s">
        <v>491</v>
      </c>
    </row>
    <row r="91" ht="15.75" customHeight="1">
      <c r="A91" s="1">
        <v>90.0</v>
      </c>
      <c r="B91" s="1" t="s">
        <v>492</v>
      </c>
      <c r="C91" s="1" t="s">
        <v>492</v>
      </c>
      <c r="D91" s="1">
        <v>536294.0</v>
      </c>
      <c r="E91" s="1">
        <v>114154.0</v>
      </c>
      <c r="F91" s="1" t="s">
        <v>493</v>
      </c>
    </row>
    <row r="92" ht="15.75" customHeight="1">
      <c r="A92" s="1">
        <v>91.0</v>
      </c>
      <c r="B92" s="1" t="s">
        <v>273</v>
      </c>
      <c r="C92" s="1" t="s">
        <v>494</v>
      </c>
      <c r="D92" s="1">
        <v>538683.0</v>
      </c>
      <c r="E92" s="1">
        <v>106873.0</v>
      </c>
      <c r="F92" s="1" t="s">
        <v>495</v>
      </c>
    </row>
    <row r="93" ht="15.75" customHeight="1">
      <c r="A93" s="1">
        <v>92.0</v>
      </c>
      <c r="B93" s="1" t="s">
        <v>276</v>
      </c>
      <c r="C93" s="1" t="s">
        <v>496</v>
      </c>
      <c r="D93" s="1">
        <v>535496.0</v>
      </c>
      <c r="E93" s="1">
        <v>99882.0</v>
      </c>
      <c r="F93" s="1" t="s">
        <v>497</v>
      </c>
    </row>
    <row r="94" ht="15.75" customHeight="1">
      <c r="A94" s="1">
        <v>93.0</v>
      </c>
      <c r="B94" s="1" t="s">
        <v>279</v>
      </c>
      <c r="C94" s="1" t="s">
        <v>498</v>
      </c>
      <c r="D94" s="1">
        <v>535411.0</v>
      </c>
      <c r="E94" s="1">
        <v>99847.0</v>
      </c>
      <c r="F94" s="1" t="s">
        <v>499</v>
      </c>
    </row>
    <row r="95" ht="15.75" customHeight="1">
      <c r="A95" s="1">
        <v>94.0</v>
      </c>
      <c r="B95" s="1" t="s">
        <v>282</v>
      </c>
      <c r="C95" s="1" t="s">
        <v>500</v>
      </c>
      <c r="D95" s="1">
        <v>535462.0</v>
      </c>
      <c r="E95" s="1">
        <v>99667.0</v>
      </c>
      <c r="F95" s="1" t="s">
        <v>501</v>
      </c>
    </row>
    <row r="96" ht="15.75" customHeight="1">
      <c r="A96" s="1">
        <v>95.0</v>
      </c>
      <c r="B96" s="1" t="s">
        <v>285</v>
      </c>
      <c r="C96" s="1" t="s">
        <v>502</v>
      </c>
      <c r="D96" s="1">
        <v>535503.0</v>
      </c>
      <c r="E96" s="1">
        <v>99668.0</v>
      </c>
      <c r="F96" s="1" t="s">
        <v>503</v>
      </c>
    </row>
    <row r="97" ht="15.75" customHeight="1">
      <c r="A97" s="1">
        <v>96.0</v>
      </c>
      <c r="B97" s="1" t="s">
        <v>288</v>
      </c>
      <c r="C97" s="1" t="s">
        <v>504</v>
      </c>
      <c r="D97" s="1">
        <v>543215.0</v>
      </c>
      <c r="E97" s="1">
        <v>10131.0</v>
      </c>
      <c r="F97" s="1" t="s">
        <v>505</v>
      </c>
    </row>
    <row r="98" ht="15.75" customHeight="1">
      <c r="A98" s="1">
        <v>97.0</v>
      </c>
      <c r="B98" s="1" t="s">
        <v>291</v>
      </c>
      <c r="C98" s="1" t="s">
        <v>506</v>
      </c>
      <c r="D98" s="1">
        <v>543233.0</v>
      </c>
      <c r="E98" s="1">
        <v>10139.0</v>
      </c>
      <c r="F98" s="1" t="s">
        <v>507</v>
      </c>
    </row>
    <row r="99" ht="15.75" customHeight="1">
      <c r="A99" s="1">
        <v>98.0</v>
      </c>
      <c r="B99" s="1" t="s">
        <v>294</v>
      </c>
      <c r="C99" s="1" t="s">
        <v>508</v>
      </c>
      <c r="D99" s="1">
        <v>543433.0</v>
      </c>
      <c r="E99" s="1">
        <v>101247.0</v>
      </c>
      <c r="F99" s="1" t="s">
        <v>509</v>
      </c>
    </row>
    <row r="100" ht="15.75" customHeight="1">
      <c r="A100" s="1">
        <v>99.0</v>
      </c>
      <c r="B100" s="1" t="s">
        <v>297</v>
      </c>
      <c r="C100" s="1" t="s">
        <v>510</v>
      </c>
      <c r="D100" s="1">
        <v>549063.0</v>
      </c>
      <c r="E100" s="1">
        <v>83028.0</v>
      </c>
      <c r="F100" s="1" t="s">
        <v>511</v>
      </c>
    </row>
    <row r="101" ht="15.75" customHeight="1">
      <c r="A101" s="1">
        <v>100.0</v>
      </c>
      <c r="B101" s="1" t="s">
        <v>300</v>
      </c>
      <c r="C101" s="1" t="s">
        <v>512</v>
      </c>
      <c r="D101" s="1">
        <v>521317.0</v>
      </c>
      <c r="E101" s="1">
        <v>116394.0</v>
      </c>
      <c r="F101" s="1" t="s">
        <v>513</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worksheet>
</file>