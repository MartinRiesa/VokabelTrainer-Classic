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Tabelle2" sheetId="2" r:id="rId5"/>
    <sheet state="visible" name="Tabelle3" sheetId="3" r:id="rId6"/>
  </sheets>
  <definedNames/>
  <calcPr/>
</workbook>
</file>

<file path=xl/sharedStrings.xml><?xml version="1.0" encoding="utf-8"?>
<sst xmlns="http://schemas.openxmlformats.org/spreadsheetml/2006/main" count="3078" uniqueCount="3014">
  <si>
    <t>ausfüllen</t>
  </si>
  <si>
    <t>heißen</t>
  </si>
  <si>
    <t>unterschreiben</t>
  </si>
  <si>
    <t>heiraten</t>
  </si>
  <si>
    <t>besuchen</t>
  </si>
  <si>
    <t>grüßen</t>
  </si>
  <si>
    <t>gratulieren</t>
  </si>
  <si>
    <t>danken</t>
  </si>
  <si>
    <t>kommen</t>
  </si>
  <si>
    <t>helfen</t>
  </si>
  <si>
    <t>verstehen</t>
  </si>
  <si>
    <t>sprechen</t>
  </si>
  <si>
    <t>aufschreiben</t>
  </si>
  <si>
    <t>entschuldigen</t>
  </si>
  <si>
    <t>kennenlernen</t>
  </si>
  <si>
    <t>sein</t>
  </si>
  <si>
    <t>sich vorstellen</t>
  </si>
  <si>
    <t>wohnen</t>
  </si>
  <si>
    <t>haben</t>
  </si>
  <si>
    <t>sagen</t>
  </si>
  <si>
    <t>männlich</t>
  </si>
  <si>
    <t>weiblich</t>
  </si>
  <si>
    <t>ledig</t>
  </si>
  <si>
    <t>verheiratet</t>
  </si>
  <si>
    <t>geschieden</t>
  </si>
  <si>
    <t>verwitwet</t>
  </si>
  <si>
    <t>gut</t>
  </si>
  <si>
    <t>schlecht</t>
  </si>
  <si>
    <t>privat</t>
  </si>
  <si>
    <t>deutsch</t>
  </si>
  <si>
    <t>ein bisschen</t>
  </si>
  <si>
    <t>schön</t>
  </si>
  <si>
    <t>Hallo</t>
  </si>
  <si>
    <t>Guten Tag</t>
  </si>
  <si>
    <t>Herzlichen Glückwunsch</t>
  </si>
  <si>
    <t>bitte</t>
  </si>
  <si>
    <t>danke</t>
  </si>
  <si>
    <t>Auf Wiedersehen</t>
  </si>
  <si>
    <t>tschüss</t>
  </si>
  <si>
    <t>ja</t>
  </si>
  <si>
    <t>nein</t>
  </si>
  <si>
    <t>Entschuldigung</t>
  </si>
  <si>
    <t>willkommen</t>
  </si>
  <si>
    <t>auch</t>
  </si>
  <si>
    <t>und</t>
  </si>
  <si>
    <t>wer</t>
  </si>
  <si>
    <t>was</t>
  </si>
  <si>
    <t>woher</t>
  </si>
  <si>
    <t>welche</t>
  </si>
  <si>
    <t>wie</t>
  </si>
  <si>
    <t>die Adresse</t>
  </si>
  <si>
    <t>der Name</t>
  </si>
  <si>
    <t>der Vorname</t>
  </si>
  <si>
    <t>der Familienname</t>
  </si>
  <si>
    <t>die Straße</t>
  </si>
  <si>
    <t>die Hausnummer</t>
  </si>
  <si>
    <t>der Ort</t>
  </si>
  <si>
    <t>die Postleitzahl</t>
  </si>
  <si>
    <t>der Geburtsort</t>
  </si>
  <si>
    <t>das Geburtsjahr</t>
  </si>
  <si>
    <t>das Geburtsdatum</t>
  </si>
  <si>
    <t>das Formular</t>
  </si>
  <si>
    <t>das Alter</t>
  </si>
  <si>
    <t>die Unterschrift</t>
  </si>
  <si>
    <t>der Familienstand</t>
  </si>
  <si>
    <t>die Papiere</t>
  </si>
  <si>
    <t>der Ausweis</t>
  </si>
  <si>
    <t>der Pass</t>
  </si>
  <si>
    <t>der Geburtstag</t>
  </si>
  <si>
    <t>die Einladung</t>
  </si>
  <si>
    <t>die Torte</t>
  </si>
  <si>
    <t>das Geschenk</t>
  </si>
  <si>
    <t>der Gast</t>
  </si>
  <si>
    <t>die Frau</t>
  </si>
  <si>
    <t>der Mann</t>
  </si>
  <si>
    <t>der Junge</t>
  </si>
  <si>
    <t>das Mädchen</t>
  </si>
  <si>
    <t>das Kind</t>
  </si>
  <si>
    <t>die Handynummer</t>
  </si>
  <si>
    <t>die Nummer</t>
  </si>
  <si>
    <t>das Alphabet</t>
  </si>
  <si>
    <t>der Artikel</t>
  </si>
  <si>
    <t>die Person</t>
  </si>
  <si>
    <t>die Sprache</t>
  </si>
  <si>
    <t>die Dame</t>
  </si>
  <si>
    <t>Deutschland</t>
  </si>
  <si>
    <t>ich</t>
  </si>
  <si>
    <t>du</t>
  </si>
  <si>
    <t>er</t>
  </si>
  <si>
    <t>sie (singular)</t>
  </si>
  <si>
    <t>es</t>
  </si>
  <si>
    <t>wir</t>
  </si>
  <si>
    <t>ihr</t>
  </si>
  <si>
    <t>sie (plural)</t>
  </si>
  <si>
    <t>Sie (formell Du)</t>
  </si>
  <si>
    <t>mein</t>
  </si>
  <si>
    <t>dein</t>
  </si>
  <si>
    <t>ihr (singular)</t>
  </si>
  <si>
    <t>unser</t>
  </si>
  <si>
    <t>euer</t>
  </si>
  <si>
    <t>ihr (plural)</t>
  </si>
  <si>
    <t>Ihr (formell Du)</t>
  </si>
  <si>
    <t>Okay ich fülle das Formular aus.</t>
  </si>
  <si>
    <t>Wie heißen die deutschen Artikel?</t>
  </si>
  <si>
    <t>Unterschreiben sie bitte das Formular.</t>
  </si>
  <si>
    <t>Die Frau heiratet den Mann.</t>
  </si>
  <si>
    <t>Nein wir besuchen dich nicht.</t>
  </si>
  <si>
    <t>Nein der Mann grüßt das Kind.</t>
  </si>
  <si>
    <t>Ich gratuliere dir zum Geburtstag.</t>
  </si>
  <si>
    <t>Ich danke dir für das Geschenk.</t>
  </si>
  <si>
    <t>Sie kommt aus Deutschland.</t>
  </si>
  <si>
    <t>Ja ich helfe der Frau.</t>
  </si>
  <si>
    <t>Nein ich verstehe kein deutsch.</t>
  </si>
  <si>
    <t>Nein ich spreche nicht arabisch.</t>
  </si>
  <si>
    <t>Schreiben sie bitte ihren Namen auf.</t>
  </si>
  <si>
    <t>Entschuldigen sie bitte.</t>
  </si>
  <si>
    <t>Schön sie kennenzulernen.</t>
  </si>
  <si>
    <t>Die Person ist männlich</t>
  </si>
  <si>
    <t>Stellen sie sich bitte vor.</t>
  </si>
  <si>
    <t>Ich wohne in Bautzen.</t>
  </si>
  <si>
    <t>Ich habe eine Frau und ein Kind.</t>
  </si>
  <si>
    <t>Was sage ich meiner Frau?</t>
  </si>
  <si>
    <t>Ich bin Thomas.</t>
  </si>
  <si>
    <t>Du bist Alfred.</t>
  </si>
  <si>
    <t>Er ist Ahmad.</t>
  </si>
  <si>
    <t>Sie ist Monique.</t>
  </si>
  <si>
    <t>Es ist ein Kind.</t>
  </si>
  <si>
    <t>Wir sind aus Deutschland.</t>
  </si>
  <si>
    <t>Ihr seid schön.</t>
  </si>
  <si>
    <t>Sie helfen dem Kind.</t>
  </si>
  <si>
    <t>Sie sind eine schöne Frau.</t>
  </si>
  <si>
    <t>Mein Kind heißt Anja.</t>
  </si>
  <si>
    <t>Dein Alter sagt er nicht.</t>
  </si>
  <si>
    <t>Seine Adresse ist auf dem Formular.</t>
  </si>
  <si>
    <t>ihr Geburtsort ist Dresden.</t>
  </si>
  <si>
    <t>Seine Frau kommt aus Deutschland.</t>
  </si>
  <si>
    <t>Wir haben unsere Einladung.</t>
  </si>
  <si>
    <t>Euer Kind heißt Ivan.</t>
  </si>
  <si>
    <t>Ich spreche mit ihrem Mann.</t>
  </si>
  <si>
    <t>Ihr Name ist Herr Müller.</t>
  </si>
  <si>
    <t>Ich sage meine Adresse nicht.</t>
  </si>
  <si>
    <t>Mein Name ist Martin Müller.</t>
  </si>
  <si>
    <t>Mein Vorname ist Martin.</t>
  </si>
  <si>
    <t>Mein Familienname ist Müller.</t>
  </si>
  <si>
    <t>Ich wohne in der Hauptstraße.</t>
  </si>
  <si>
    <t>Meine Hausnummer ist 7.</t>
  </si>
  <si>
    <t>Wo ist der Ort?</t>
  </si>
  <si>
    <t>Ich schreibe meine Postleitzahl auf.</t>
  </si>
  <si>
    <t>Dein Geburtsort ist Berlin.</t>
  </si>
  <si>
    <t>Dein Geburtsjahr ist 1984.</t>
  </si>
  <si>
    <t>Mein Geburtsdatum ist der 01.01.1984.</t>
  </si>
  <si>
    <t>Ich fülle das Formular aus.</t>
  </si>
  <si>
    <t>Mein Alter sage ich nicht.</t>
  </si>
  <si>
    <t>Meine Unterschrift ist unter dem Formular.</t>
  </si>
  <si>
    <t>Wie ist ihr Familienstand?</t>
  </si>
  <si>
    <t>Ich habe keine Papiere.</t>
  </si>
  <si>
    <t>Er hat keinen Ausweis.</t>
  </si>
  <si>
    <t>Wir haben keinen Pass.</t>
  </si>
  <si>
    <t>Es ist dein Geburtstag.</t>
  </si>
  <si>
    <t>Ich habe eine Einladung zum Geburtstag.</t>
  </si>
  <si>
    <t>Die Torte ist schön.</t>
  </si>
  <si>
    <t>Sie haben ein Geschenk.</t>
  </si>
  <si>
    <t>Der Gast kommt aus Deutschland.</t>
  </si>
  <si>
    <t>Die Frau ist schön.</t>
  </si>
  <si>
    <t>Der Mann ist ledig.</t>
  </si>
  <si>
    <t>Der Junge spricht arabisch.</t>
  </si>
  <si>
    <t>Das Mädchen spricht ein bisschen deutsch.</t>
  </si>
  <si>
    <t>Das Kind spricht mit der Mutter.</t>
  </si>
  <si>
    <t>Ich habe keine Handynummer.</t>
  </si>
  <si>
    <t>Meine Nummer sage ich nicht.</t>
  </si>
  <si>
    <t>Ich schreibe das Alphabet auf.</t>
  </si>
  <si>
    <t>Das ist ein Artikel.</t>
  </si>
  <si>
    <t>Die Person ist männlich.</t>
  </si>
  <si>
    <t>Ich verstehe die deutsche Sprache.</t>
  </si>
  <si>
    <t>Die Dame hilft dem Mann.</t>
  </si>
  <si>
    <t>Deutschland ist schön.</t>
  </si>
  <si>
    <t>Nein die Person ist weiblich.</t>
  </si>
  <si>
    <t>Ich bin ledig.</t>
  </si>
  <si>
    <t>Ja ich bin verheiratet.</t>
  </si>
  <si>
    <t>Nein ich bin nicht geschieden.</t>
  </si>
  <si>
    <t>Ja ich bin verwitwet.</t>
  </si>
  <si>
    <t>Ja das Geschenk ist gut.</t>
  </si>
  <si>
    <t>Nein das Geschenk ist schlecht.</t>
  </si>
  <si>
    <t>Nein das ist nicht privat.</t>
  </si>
  <si>
    <t>Nein ich spreche kein deutsch.</t>
  </si>
  <si>
    <t>Ich spreche ein bisschen deutsch.</t>
  </si>
  <si>
    <t>Ja das Mädchen ist schön.</t>
  </si>
  <si>
    <t>Wer ist die Frau?</t>
  </si>
  <si>
    <t>Ja was ist?</t>
  </si>
  <si>
    <t>Woher kommen sie?</t>
  </si>
  <si>
    <t>Welches Kind ist ihrs?</t>
  </si>
  <si>
    <t>Wie heißen sie?</t>
  </si>
  <si>
    <t>Hallo ich bin Martin.</t>
  </si>
  <si>
    <t>Guten Tag Frau Müller.</t>
  </si>
  <si>
    <t>Herzlichen Glückwunsch zum Geburtstag.</t>
  </si>
  <si>
    <t>Bitte schön.</t>
  </si>
  <si>
    <t>Danke für das Geschenk.</t>
  </si>
  <si>
    <t>Auf Wiedersehen.</t>
  </si>
  <si>
    <t>Tschüss.</t>
  </si>
  <si>
    <t>Ja ich bin Thomas.</t>
  </si>
  <si>
    <t>Nein ich bin nicht Omar.</t>
  </si>
  <si>
    <t>Entschuldigung.</t>
  </si>
  <si>
    <t>Willkommen in Deutschland.</t>
  </si>
  <si>
    <t>Ich komme auch aus Deutschland.</t>
  </si>
  <si>
    <t>Ich spreche deutsch und arabisch.</t>
  </si>
  <si>
    <t>vormittags</t>
  </si>
  <si>
    <t>später</t>
  </si>
  <si>
    <t>pünktlich</t>
  </si>
  <si>
    <t>zu spät</t>
  </si>
  <si>
    <t>die Stunde</t>
  </si>
  <si>
    <t>eine halbe Stunde</t>
  </si>
  <si>
    <t>eine viertel Stunde</t>
  </si>
  <si>
    <t>die Minute</t>
  </si>
  <si>
    <t>die Sekunde</t>
  </si>
  <si>
    <t>früh</t>
  </si>
  <si>
    <t>spät</t>
  </si>
  <si>
    <t>die Uhrzeit</t>
  </si>
  <si>
    <t>seit</t>
  </si>
  <si>
    <t>heute</t>
  </si>
  <si>
    <t>gestern</t>
  </si>
  <si>
    <t>vorgestern</t>
  </si>
  <si>
    <t>morgen</t>
  </si>
  <si>
    <t>übermorgen</t>
  </si>
  <si>
    <t>morgens</t>
  </si>
  <si>
    <t>mittags</t>
  </si>
  <si>
    <t>abends</t>
  </si>
  <si>
    <t>tagsüber</t>
  </si>
  <si>
    <t>nachts</t>
  </si>
  <si>
    <t>nachmittags</t>
  </si>
  <si>
    <t>jetzt</t>
  </si>
  <si>
    <t>immer</t>
  </si>
  <si>
    <t>nächste</t>
  </si>
  <si>
    <t>stündlich</t>
  </si>
  <si>
    <t>täglich</t>
  </si>
  <si>
    <t>erst</t>
  </si>
  <si>
    <t>wann</t>
  </si>
  <si>
    <t>null</t>
  </si>
  <si>
    <t>eins</t>
  </si>
  <si>
    <t>zwei</t>
  </si>
  <si>
    <t>drei</t>
  </si>
  <si>
    <t>vier</t>
  </si>
  <si>
    <t>fünf</t>
  </si>
  <si>
    <t>sechs</t>
  </si>
  <si>
    <t>sieben</t>
  </si>
  <si>
    <t>acht</t>
  </si>
  <si>
    <t>neun</t>
  </si>
  <si>
    <t>zehn</t>
  </si>
  <si>
    <t>elf</t>
  </si>
  <si>
    <t>die Zahl</t>
  </si>
  <si>
    <t>hundert</t>
  </si>
  <si>
    <t>hunderteins</t>
  </si>
  <si>
    <t>zweihundert</t>
  </si>
  <si>
    <t>tausend</t>
  </si>
  <si>
    <t>die Million</t>
  </si>
  <si>
    <t>die Milliarde</t>
  </si>
  <si>
    <t>neunzehn</t>
  </si>
  <si>
    <t>zwangzig</t>
  </si>
  <si>
    <t>einundzwanzig</t>
  </si>
  <si>
    <t>dreißig</t>
  </si>
  <si>
    <t>vierzig</t>
  </si>
  <si>
    <t>fünfzig</t>
  </si>
  <si>
    <t>sechzig</t>
  </si>
  <si>
    <t>siebzig</t>
  </si>
  <si>
    <t>achtzig</t>
  </si>
  <si>
    <t>neunzig</t>
  </si>
  <si>
    <t>plus</t>
  </si>
  <si>
    <t>minus</t>
  </si>
  <si>
    <t>geteilt</t>
  </si>
  <si>
    <t>mal</t>
  </si>
  <si>
    <t>das Prozent</t>
  </si>
  <si>
    <t>ganz</t>
  </si>
  <si>
    <t>zwölf</t>
  </si>
  <si>
    <t>dreizehn</t>
  </si>
  <si>
    <t>vierzehn</t>
  </si>
  <si>
    <t>fünfzehn</t>
  </si>
  <si>
    <t>sechzehn</t>
  </si>
  <si>
    <t>siebzehn</t>
  </si>
  <si>
    <t>achtzehn</t>
  </si>
  <si>
    <t>rechnen</t>
  </si>
  <si>
    <t>schlafen</t>
  </si>
  <si>
    <t>wecken</t>
  </si>
  <si>
    <t>aufwachen</t>
  </si>
  <si>
    <t>aufstehen</t>
  </si>
  <si>
    <t>stattfinden</t>
  </si>
  <si>
    <t>verabreden</t>
  </si>
  <si>
    <t>anfangen</t>
  </si>
  <si>
    <t>beginnen</t>
  </si>
  <si>
    <t>zählen</t>
  </si>
  <si>
    <t>warten</t>
  </si>
  <si>
    <t>öffnen</t>
  </si>
  <si>
    <t>schließen</t>
  </si>
  <si>
    <t>die Woche</t>
  </si>
  <si>
    <t>der Wochentag</t>
  </si>
  <si>
    <t>der Werktag</t>
  </si>
  <si>
    <t>das Wochenende</t>
  </si>
  <si>
    <t>Montag</t>
  </si>
  <si>
    <t>Dienstag</t>
  </si>
  <si>
    <t>Mittwoch</t>
  </si>
  <si>
    <t>Donnerstag</t>
  </si>
  <si>
    <t>Freitag</t>
  </si>
  <si>
    <t>Samstag</t>
  </si>
  <si>
    <t>Sonntag</t>
  </si>
  <si>
    <t>das Jahr</t>
  </si>
  <si>
    <t>der Herbst</t>
  </si>
  <si>
    <t>der Sommer</t>
  </si>
  <si>
    <t>der Frühling</t>
  </si>
  <si>
    <t>der Winter</t>
  </si>
  <si>
    <t>die Jahreszeit</t>
  </si>
  <si>
    <t>der Monat</t>
  </si>
  <si>
    <t>der Januar</t>
  </si>
  <si>
    <t>der Februar</t>
  </si>
  <si>
    <t>der März</t>
  </si>
  <si>
    <t>der April</t>
  </si>
  <si>
    <t>der Mai</t>
  </si>
  <si>
    <t>der Juni</t>
  </si>
  <si>
    <t>der Juli</t>
  </si>
  <si>
    <t>der August</t>
  </si>
  <si>
    <t>der September</t>
  </si>
  <si>
    <t>der Oktober</t>
  </si>
  <si>
    <t>der November</t>
  </si>
  <si>
    <t>der Dezember</t>
  </si>
  <si>
    <t>die Nacht</t>
  </si>
  <si>
    <t>Guten Morgen</t>
  </si>
  <si>
    <t>Guten Abend</t>
  </si>
  <si>
    <t>guten Tag</t>
  </si>
  <si>
    <t>der Abend</t>
  </si>
  <si>
    <t>der Mittag</t>
  </si>
  <si>
    <t>der Morgen</t>
  </si>
  <si>
    <t>der Tag</t>
  </si>
  <si>
    <t>der Vormittag</t>
  </si>
  <si>
    <t>der Nachmittag</t>
  </si>
  <si>
    <t>erste</t>
  </si>
  <si>
    <t>zweite</t>
  </si>
  <si>
    <t>dritte</t>
  </si>
  <si>
    <t>vierte</t>
  </si>
  <si>
    <t>fünfte</t>
  </si>
  <si>
    <t>sechste</t>
  </si>
  <si>
    <t>siebte</t>
  </si>
  <si>
    <t>achte</t>
  </si>
  <si>
    <t>neunte</t>
  </si>
  <si>
    <t>zehnte</t>
  </si>
  <si>
    <t>die Hälfte</t>
  </si>
  <si>
    <t>das Drittel</t>
  </si>
  <si>
    <t>das Viertel</t>
  </si>
  <si>
    <t>das Fünftel</t>
  </si>
  <si>
    <t>das Sechstel</t>
  </si>
  <si>
    <t>das Siebtel</t>
  </si>
  <si>
    <t>das Achtel</t>
  </si>
  <si>
    <t>das Neuntel</t>
  </si>
  <si>
    <t>das Zehntel</t>
  </si>
  <si>
    <t>die Form</t>
  </si>
  <si>
    <t>der Kreis</t>
  </si>
  <si>
    <t>das Dreieck</t>
  </si>
  <si>
    <t>das Viereck</t>
  </si>
  <si>
    <t>der Teil</t>
  </si>
  <si>
    <t>die Uhr</t>
  </si>
  <si>
    <t>der Zeiger</t>
  </si>
  <si>
    <t>der Termin</t>
  </si>
  <si>
    <t>kommst du vormittags oder nachmittags?</t>
  </si>
  <si>
    <t>Ich spreche später mit Monika</t>
  </si>
  <si>
    <t>ich komme heute nicht pünktlich.</t>
  </si>
  <si>
    <t>Du bist zu spät.</t>
  </si>
  <si>
    <t>Eine Stunde hat 60 Minuten.</t>
  </si>
  <si>
    <t>30 Minuten sind eine halbe Stunde.</t>
  </si>
  <si>
    <t>Ich komme eine viertel Stunde zu spät.</t>
  </si>
  <si>
    <t>Eine Minute hat sechzig Sekunden.</t>
  </si>
  <si>
    <t>warten sie bitte eine Sekunde.</t>
  </si>
  <si>
    <t>Ich stehe früh auf und schlafe spät.</t>
  </si>
  <si>
    <t>sagen sie mir bitte die Uhrzeit?</t>
  </si>
  <si>
    <t>Ich warte seit Montag.</t>
  </si>
  <si>
    <t>Heute habe ich Geburtstag.</t>
  </si>
  <si>
    <t>Gestern war ich in Dresden.</t>
  </si>
  <si>
    <t>Heute ist Mittwoch und vorgestern war Montag.</t>
  </si>
  <si>
    <t>Heute ist Mittwoch und morgen wird Donnerstag sein.</t>
  </si>
  <si>
    <t>Heute ist Mittwoch und übermorgen wird Freitag sein.</t>
  </si>
  <si>
    <t>Morgens wecke ich mein Kind.</t>
  </si>
  <si>
    <t>Der Termin ist mittags.</t>
  </si>
  <si>
    <t>Sein sie bitte pünktlich.</t>
  </si>
  <si>
    <t>Verabredest du dich Abends mit Michael?</t>
  </si>
  <si>
    <t>tagsüber schlafe ich nicht.</t>
  </si>
  <si>
    <t>nachts schlafe ich immer.</t>
  </si>
  <si>
    <t>der Termin ist jetzt und nicht in 30 Minuten.</t>
  </si>
  <si>
    <t>Der nächste Termin ist übermorgen.</t>
  </si>
  <si>
    <t>Ich wache stündlich auf.</t>
  </si>
  <si>
    <t>Sie hilft der Frau täglich.</t>
  </si>
  <si>
    <t>Ich komme erst in 40 Minuten.</t>
  </si>
  <si>
    <t>Wann kommst du?</t>
  </si>
  <si>
    <t>Eins plus fünf sind sechs.</t>
  </si>
  <si>
    <t>Zwei Minus zwei ist null.</t>
  </si>
  <si>
    <t>Drei Mal vier sind zwölf.</t>
  </si>
  <si>
    <t>Ich habe sieben oder acht Euro.</t>
  </si>
  <si>
    <t>Neunzig geteilt durch zehn sind neun.</t>
  </si>
  <si>
    <t>Die Zahl 11 schreibt man elf.</t>
  </si>
  <si>
    <t>Nach der hundert kommt die hunderteins</t>
  </si>
  <si>
    <t>fünf mal zweihundert sind tausend.</t>
  </si>
  <si>
    <t>Tausend mal tausend sind eine Million.</t>
  </si>
  <si>
    <t>Tausend mal eine Million sind eine Milliarde.</t>
  </si>
  <si>
    <t>Ich habe neunzehn Euro.</t>
  </si>
  <si>
    <t>zwanzig plus dreißig sind fünfzig</t>
  </si>
  <si>
    <t>Einundzwanzig zweiundzwanzig und jetzt?</t>
  </si>
  <si>
    <t>Vierzig minus eins sind neununddreißig.</t>
  </si>
  <si>
    <t>haben sie sechzig siebzig oder achtzig Euro?</t>
  </si>
  <si>
    <t>Fünfzig prozent von vierzehn Euro sind sieben Euro.</t>
  </si>
  <si>
    <t>Ein ganzer Tag hat vierundzwanzig Stunden.</t>
  </si>
  <si>
    <t>sechsundzwanzig geteilt durch zwei sind dreizehn</t>
  </si>
  <si>
    <t>Fünfzehn plus drei sind achtzehn.</t>
  </si>
  <si>
    <t>Die Kinder rechnen fünf plus fünf.</t>
  </si>
  <si>
    <t>Ich schlafe seit zwei Stunden.</t>
  </si>
  <si>
    <t>Ich wecke dich um sieben Uhr.</t>
  </si>
  <si>
    <t>Ich wache immer um drei Uhr morgens auf.</t>
  </si>
  <si>
    <t>Wann stehst du auf?</t>
  </si>
  <si>
    <t>Wann findet der Termin statt?</t>
  </si>
  <si>
    <t>Wann seid ihr verabredet?</t>
  </si>
  <si>
    <t>wann fängt der Sommer an?</t>
  </si>
  <si>
    <t>Die Woche beginnt am Montag.</t>
  </si>
  <si>
    <t>Das Kind zählt bis zehn.</t>
  </si>
  <si>
    <t>Er wartet auf die Frau.</t>
  </si>
  <si>
    <t>Wann öffnet der Supermarkt?</t>
  </si>
  <si>
    <t>Der Supermarkt schließt um sieben Uhr.</t>
  </si>
  <si>
    <t>Eine Woche hat sieben Tage.</t>
  </si>
  <si>
    <t>Welcher Wochentag ist heute?</t>
  </si>
  <si>
    <t>Die Werktage sind Montag Dienstag Mittwoch Donnerstag und Freitag.</t>
  </si>
  <si>
    <t>Das Wochenende sind Samstag und Sonntag.</t>
  </si>
  <si>
    <t>Nächstes Wochenende komme ich nicht.</t>
  </si>
  <si>
    <t>In einem Jahr bin ich 18 Jahre alt.</t>
  </si>
  <si>
    <t>Der Herbst kommt nach dem Sommer.</t>
  </si>
  <si>
    <t>Der Winter kommt vor dem Frühling.</t>
  </si>
  <si>
    <t>Welche Jahreszeit haben wir?</t>
  </si>
  <si>
    <t>Welchen Monat haben wir?</t>
  </si>
  <si>
    <t>der erste Monat im Jahr ist der Januar.</t>
  </si>
  <si>
    <t>Der zweite Monat ist der Februar.</t>
  </si>
  <si>
    <t>der dritte Monat ist der März.</t>
  </si>
  <si>
    <t>der vierte Monat ist der April.</t>
  </si>
  <si>
    <t>Der fünfte Monat ist der Mai.</t>
  </si>
  <si>
    <t>Der sechste Monat ist der Juni.</t>
  </si>
  <si>
    <t>Der siebente Monat ist der Juli.</t>
  </si>
  <si>
    <t>Der achte Monat ist der August.</t>
  </si>
  <si>
    <t>Der neunte Monat ist der September.</t>
  </si>
  <si>
    <t>Der zehnte Monat ist der Oktober.</t>
  </si>
  <si>
    <t>Der elfte Monat ist der November.</t>
  </si>
  <si>
    <t>Der zwölfte Monat ist der Dezember.</t>
  </si>
  <si>
    <t>Die Nacht fängt im Winter früh an.</t>
  </si>
  <si>
    <t>Guten Morgen Antje.</t>
  </si>
  <si>
    <t>Guten Abend Frau Müller.</t>
  </si>
  <si>
    <t>Guten Tag Herr Schneider.</t>
  </si>
  <si>
    <t>Der Abend ist schön.</t>
  </si>
  <si>
    <t>Am Mittag besuchen wir die Frau.</t>
  </si>
  <si>
    <t>Am Morgen stehe ich auf.</t>
  </si>
  <si>
    <t>Der Vormittag ist von sieben bis zwölf Uhr.</t>
  </si>
  <si>
    <t>Der Nachmittag ist von dreizehn bis siebzehn Uhr.</t>
  </si>
  <si>
    <t>Der zweit Monat ist der Februar.</t>
  </si>
  <si>
    <t>Ich nehme die Hälfte von der Torte.</t>
  </si>
  <si>
    <t>Ein Drittel von neun sind drei.</t>
  </si>
  <si>
    <t>Ein Viertel von einem Euro sind fünfundzwanzig Cent.</t>
  </si>
  <si>
    <t>Ein Fünftel von zehn sind zwei.</t>
  </si>
  <si>
    <t>Ein Sechstel von zwölf sind zwei.</t>
  </si>
  <si>
    <t>Ein Siebtel von einundzwanzig sind drei.</t>
  </si>
  <si>
    <t>Ein Achtel von vierundzwanzig sind drei.</t>
  </si>
  <si>
    <t>Ein Neuntel von neunzig sind zehn.</t>
  </si>
  <si>
    <t>Ein Zehntel von hundert sind zehn.</t>
  </si>
  <si>
    <t>Die Form des Geschenk ist ein Viereck.</t>
  </si>
  <si>
    <t>Das Kind zählt die Kreise.</t>
  </si>
  <si>
    <t>Ein Dreieck hat drei Ecken.</t>
  </si>
  <si>
    <t>Ein Viereck hat vier Ecken.</t>
  </si>
  <si>
    <t>Der Zeiger der Uhr ist auf der neun.</t>
  </si>
  <si>
    <t>Der Zeiger ist ein Teil der Uhr.</t>
  </si>
  <si>
    <t>Der Termin ist um acht Uhr abends.</t>
  </si>
  <si>
    <t>essen</t>
  </si>
  <si>
    <t>backen</t>
  </si>
  <si>
    <t>trinken</t>
  </si>
  <si>
    <t>frühstücken</t>
  </si>
  <si>
    <t>kochen</t>
  </si>
  <si>
    <t>bestellen</t>
  </si>
  <si>
    <t>einkaufen</t>
  </si>
  <si>
    <t>kosten</t>
  </si>
  <si>
    <t>verkaufen</t>
  </si>
  <si>
    <t>kaufen</t>
  </si>
  <si>
    <t>zahlen</t>
  </si>
  <si>
    <t>anbieten</t>
  </si>
  <si>
    <t>bitten</t>
  </si>
  <si>
    <t>geben</t>
  </si>
  <si>
    <t>nehmen</t>
  </si>
  <si>
    <t>wählen</t>
  </si>
  <si>
    <t>können</t>
  </si>
  <si>
    <t>möchten</t>
  </si>
  <si>
    <t>beschreiben</t>
  </si>
  <si>
    <t>verfaulen</t>
  </si>
  <si>
    <t>bekommen</t>
  </si>
  <si>
    <t>reichen</t>
  </si>
  <si>
    <t>schneiden</t>
  </si>
  <si>
    <t>auswählen</t>
  </si>
  <si>
    <t>wollen</t>
  </si>
  <si>
    <t>dabeihaben</t>
  </si>
  <si>
    <t>zu sein</t>
  </si>
  <si>
    <t>mögen</t>
  </si>
  <si>
    <t>der Hunger</t>
  </si>
  <si>
    <t>der Durst</t>
  </si>
  <si>
    <t>das Frühstück</t>
  </si>
  <si>
    <t>das Mittagessen</t>
  </si>
  <si>
    <t>das Abendessen</t>
  </si>
  <si>
    <t>das Glas</t>
  </si>
  <si>
    <t>die Flasche</t>
  </si>
  <si>
    <t>das Geschirr</t>
  </si>
  <si>
    <t>die Tasse</t>
  </si>
  <si>
    <t>die Untertasse</t>
  </si>
  <si>
    <t>der Teller</t>
  </si>
  <si>
    <t>das Besteck</t>
  </si>
  <si>
    <t>das Messer</t>
  </si>
  <si>
    <t>die Gabel</t>
  </si>
  <si>
    <t>der Löffel</t>
  </si>
  <si>
    <t>das Essen</t>
  </si>
  <si>
    <t>der Geschmack</t>
  </si>
  <si>
    <t>die Tüte</t>
  </si>
  <si>
    <t>die Zigarette</t>
  </si>
  <si>
    <t>das Feuerzeug</t>
  </si>
  <si>
    <t>das Streichholz</t>
  </si>
  <si>
    <t>der Kellner/ die Kellnerin</t>
  </si>
  <si>
    <t>die Speisekarte</t>
  </si>
  <si>
    <t>der Verkäufer/ die Verkäuferin</t>
  </si>
  <si>
    <t>der Kunde/ die Kundin</t>
  </si>
  <si>
    <t>der Wunsch</t>
  </si>
  <si>
    <t>der Handel</t>
  </si>
  <si>
    <t>der Kauf</t>
  </si>
  <si>
    <t>die Ernährung</t>
  </si>
  <si>
    <t>die Mahlzeit</t>
  </si>
  <si>
    <t>der Service</t>
  </si>
  <si>
    <t>mindestens</t>
  </si>
  <si>
    <t>viel</t>
  </si>
  <si>
    <t>genug</t>
  </si>
  <si>
    <t>genau</t>
  </si>
  <si>
    <t>sehr</t>
  </si>
  <si>
    <t>ungefähr</t>
  </si>
  <si>
    <t>wenig</t>
  </si>
  <si>
    <t>zu wenig</t>
  </si>
  <si>
    <t>zu viel</t>
  </si>
  <si>
    <t>etwas</t>
  </si>
  <si>
    <t>nichts</t>
  </si>
  <si>
    <t>kein</t>
  </si>
  <si>
    <t>mehr</t>
  </si>
  <si>
    <t>fast</t>
  </si>
  <si>
    <t>wieviel</t>
  </si>
  <si>
    <t>je</t>
  </si>
  <si>
    <t>etwa</t>
  </si>
  <si>
    <t>pro</t>
  </si>
  <si>
    <t>das Gramm</t>
  </si>
  <si>
    <t>das Pfund</t>
  </si>
  <si>
    <t>das Kilogramm</t>
  </si>
  <si>
    <t>Grad Celsius</t>
  </si>
  <si>
    <t>der Milliliter</t>
  </si>
  <si>
    <t>der Liter</t>
  </si>
  <si>
    <t>ein halber Liter</t>
  </si>
  <si>
    <t>die Dose</t>
  </si>
  <si>
    <t>die Scheibe</t>
  </si>
  <si>
    <t>die Butter</t>
  </si>
  <si>
    <t>der Käse</t>
  </si>
  <si>
    <t>die Wurst</t>
  </si>
  <si>
    <t>das Ei</t>
  </si>
  <si>
    <t>das Mehl</t>
  </si>
  <si>
    <t>der Pfeffer</t>
  </si>
  <si>
    <t>das Salz</t>
  </si>
  <si>
    <t>der Zucker</t>
  </si>
  <si>
    <t>das Öl</t>
  </si>
  <si>
    <t>der Essig</t>
  </si>
  <si>
    <t>die Nudeln</t>
  </si>
  <si>
    <t>der Reis</t>
  </si>
  <si>
    <t>der Fisch</t>
  </si>
  <si>
    <t>das Fleisch</t>
  </si>
  <si>
    <t>das Geflügel</t>
  </si>
  <si>
    <t>das Brot</t>
  </si>
  <si>
    <t>das Brötchen</t>
  </si>
  <si>
    <t>der Kuchen</t>
  </si>
  <si>
    <t>die Suppe</t>
  </si>
  <si>
    <t>die Pommes frites</t>
  </si>
  <si>
    <t>die Schokolade</t>
  </si>
  <si>
    <t>das Eis</t>
  </si>
  <si>
    <t>der Honig</t>
  </si>
  <si>
    <t>der Schinken</t>
  </si>
  <si>
    <t>die Marmelade</t>
  </si>
  <si>
    <t>die Sahne</t>
  </si>
  <si>
    <t>die Soße</t>
  </si>
  <si>
    <t>das Schnitzel</t>
  </si>
  <si>
    <t>die Lebensmittel</t>
  </si>
  <si>
    <t>die Getränke</t>
  </si>
  <si>
    <t>das Bier</t>
  </si>
  <si>
    <t>der Wein</t>
  </si>
  <si>
    <t>der Kaffee</t>
  </si>
  <si>
    <t>der Tee</t>
  </si>
  <si>
    <t>die Milch</t>
  </si>
  <si>
    <t>der Saft</t>
  </si>
  <si>
    <t>das Mineralwasser</t>
  </si>
  <si>
    <t>der Markt</t>
  </si>
  <si>
    <t>der Supermarkt</t>
  </si>
  <si>
    <t>der Kiosk</t>
  </si>
  <si>
    <t>die Bäckerei</t>
  </si>
  <si>
    <t>die Fleischerei</t>
  </si>
  <si>
    <t>der Frisör</t>
  </si>
  <si>
    <t>das café</t>
  </si>
  <si>
    <t>das Restaurant</t>
  </si>
  <si>
    <t>das Geschäft</t>
  </si>
  <si>
    <t>der Geldautomat</t>
  </si>
  <si>
    <t>das Angebot</t>
  </si>
  <si>
    <t>der Preis</t>
  </si>
  <si>
    <t>die Kasse</t>
  </si>
  <si>
    <t>die Geldbörse</t>
  </si>
  <si>
    <t>die Brieftasche</t>
  </si>
  <si>
    <t>die Rechnung</t>
  </si>
  <si>
    <t>die Kontonummer</t>
  </si>
  <si>
    <t>die Bankleitzahl</t>
  </si>
  <si>
    <t>die Kreditkarte</t>
  </si>
  <si>
    <t>das Geld</t>
  </si>
  <si>
    <t>der Euro</t>
  </si>
  <si>
    <t>der Cent</t>
  </si>
  <si>
    <t>die Bank</t>
  </si>
  <si>
    <t>das Obst</t>
  </si>
  <si>
    <t>der Apfel</t>
  </si>
  <si>
    <t>die Birne</t>
  </si>
  <si>
    <t>die Orange</t>
  </si>
  <si>
    <t>die Traube</t>
  </si>
  <si>
    <t>die Banane</t>
  </si>
  <si>
    <t>die Zitrone</t>
  </si>
  <si>
    <t>die Ananas</t>
  </si>
  <si>
    <t>die Kirsche</t>
  </si>
  <si>
    <t>die Pflaume</t>
  </si>
  <si>
    <t>die Aprikose</t>
  </si>
  <si>
    <t>die Erdbeere</t>
  </si>
  <si>
    <t>die Himbeere</t>
  </si>
  <si>
    <t>die Brombeere</t>
  </si>
  <si>
    <t>das Gemüse</t>
  </si>
  <si>
    <t>die Aubergine</t>
  </si>
  <si>
    <t>die Paprika</t>
  </si>
  <si>
    <t>der Spinat</t>
  </si>
  <si>
    <t>die Bohne</t>
  </si>
  <si>
    <t>die Erbse</t>
  </si>
  <si>
    <t>die Karotte</t>
  </si>
  <si>
    <t>der Mais</t>
  </si>
  <si>
    <t>die Kartoffel</t>
  </si>
  <si>
    <t>die Tomate</t>
  </si>
  <si>
    <t>die Gurke</t>
  </si>
  <si>
    <t>die Zwiebel</t>
  </si>
  <si>
    <t>die Zucchini</t>
  </si>
  <si>
    <t>der Pilz</t>
  </si>
  <si>
    <t>die Nuss</t>
  </si>
  <si>
    <t>der Salat</t>
  </si>
  <si>
    <t>gern</t>
  </si>
  <si>
    <t>meiste</t>
  </si>
  <si>
    <t>natürlich</t>
  </si>
  <si>
    <t>nicht</t>
  </si>
  <si>
    <t>noch</t>
  </si>
  <si>
    <t>nur</t>
  </si>
  <si>
    <t>zu</t>
  </si>
  <si>
    <t>auf</t>
  </si>
  <si>
    <t>aus</t>
  </si>
  <si>
    <t>ab</t>
  </si>
  <si>
    <t>aber</t>
  </si>
  <si>
    <t>da</t>
  </si>
  <si>
    <t>doch</t>
  </si>
  <si>
    <t>egal</t>
  </si>
  <si>
    <t>dabei</t>
  </si>
  <si>
    <t>satt</t>
  </si>
  <si>
    <t>sauer</t>
  </si>
  <si>
    <t>süß</t>
  </si>
  <si>
    <t>scharf</t>
  </si>
  <si>
    <t>salzig</t>
  </si>
  <si>
    <t>billig</t>
  </si>
  <si>
    <t>teuer</t>
  </si>
  <si>
    <t>bar</t>
  </si>
  <si>
    <t>günstig</t>
  </si>
  <si>
    <t>frisch</t>
  </si>
  <si>
    <t>Die Kinder essen kein Gemüse.</t>
  </si>
  <si>
    <t>Die Frau backt einen Kuchen.</t>
  </si>
  <si>
    <t>Der Mann trinkt ein Bier aus der Flasche.</t>
  </si>
  <si>
    <t>Er frühstückt immer morgens.</t>
  </si>
  <si>
    <t>Sie kocht für die Kinder.</t>
  </si>
  <si>
    <t>Du bestellst einen Tee im Cafe.</t>
  </si>
  <si>
    <t>Das Kind kauft Süßigkeiten im Supermarkt ein.</t>
  </si>
  <si>
    <t>Zwei Kilo Paprika kosten sechs Euro.</t>
  </si>
  <si>
    <t>Die Fleischerei verkauft Fleisch.</t>
  </si>
  <si>
    <t>Er kauft eine Zwiebel für das Essen.</t>
  </si>
  <si>
    <t>Ich zahle in bar.</t>
  </si>
  <si>
    <t>Der Bäcker biete Brötchen für 30 Cent an.</t>
  </si>
  <si>
    <t>ich bitte sie um eine Tüte.</t>
  </si>
  <si>
    <t>Geben sie mir bitte ein Kilo Tomaten.</t>
  </si>
  <si>
    <t>Ich nehme eine Gurke bitte.</t>
  </si>
  <si>
    <t>Der Supermarkt schließt um zwanzig Uhr.</t>
  </si>
  <si>
    <t>Das Geschäft öffnet um acht Uhr morgens.</t>
  </si>
  <si>
    <t>Kann ich bitte zehn Euro haben.</t>
  </si>
  <si>
    <t>Ich möchte keinen Zucker in meinen Kaffee bitte.</t>
  </si>
  <si>
    <t>Beschreiben sie bitte das Restaurant.</t>
  </si>
  <si>
    <t>Die Kartoffeln verfaulen.</t>
  </si>
  <si>
    <t>Der Kunde zahlt an der Kasse.</t>
  </si>
  <si>
    <t>Bekomme ich noch einen Kaffee bitte?</t>
  </si>
  <si>
    <t>Ein bisschen Salz reicht.</t>
  </si>
  <si>
    <t>Schneiden sie die Pizza bitte in acht Teile.</t>
  </si>
  <si>
    <t>Wählen sie bitte aus.</t>
  </si>
  <si>
    <t>Wollen sie mehr Zucker?</t>
  </si>
  <si>
    <t>Haben sie eine Tüte dabei?</t>
  </si>
  <si>
    <t>Der Supermarkt ist schon zu.</t>
  </si>
  <si>
    <t>Das Kind mag Süßigkeiten.</t>
  </si>
  <si>
    <t>Obst ist gut für Kinder.</t>
  </si>
  <si>
    <t>Die Frauen essen Äpfel.</t>
  </si>
  <si>
    <t>Ich nehme zwei Birnen bitte.</t>
  </si>
  <si>
    <t>Bekomme ich noch eine Orange bitte.</t>
  </si>
  <si>
    <t>Wein ist aus Trauben.</t>
  </si>
  <si>
    <t>Die Banane kommt nicht aus Deutschland.</t>
  </si>
  <si>
    <t>Die Zitrone ist sehr sauer.</t>
  </si>
  <si>
    <t>Die Frau schneidet die Ananas in vier Teile.</t>
  </si>
  <si>
    <t>Die Kirschen sind heute sehr günstig.</t>
  </si>
  <si>
    <t>Ich habe nur Pflaumen in meiner Tüte.</t>
  </si>
  <si>
    <t>Es gibt heute keine Aprikosen im Supermarkt.</t>
  </si>
  <si>
    <t>Die Erdbeeren sind frisch.</t>
  </si>
  <si>
    <t>Himbeeren sind sehr süß.</t>
  </si>
  <si>
    <t>Brombeeren sind sauer.</t>
  </si>
  <si>
    <t>Du hast noch Hunger.</t>
  </si>
  <si>
    <t>Wer Durst hat trinkt Wasser.</t>
  </si>
  <si>
    <t>Zum Frühstück gibt es heute Brötchen.</t>
  </si>
  <si>
    <t>Ich esse Nudeln mit Tomatensoße zum Mittagessen.</t>
  </si>
  <si>
    <t>In Deutschland essen wir Brot zum Abendessen.</t>
  </si>
  <si>
    <t>Ich möchte ein Glas Bier bitte.</t>
  </si>
  <si>
    <t>Trinken sie eine ganze Flasche?</t>
  </si>
  <si>
    <t>Das Geschirr ist sehr teuer.</t>
  </si>
  <si>
    <t>Das Kind trinkt eine Tasse Milch.</t>
  </si>
  <si>
    <t>Geben sie mir bitte eine Untertasse für meinen Tee.</t>
  </si>
  <si>
    <t>Ich habe noch kein Fleisch auf meinem Teller.</t>
  </si>
  <si>
    <t>Sie isst mit Besteck.</t>
  </si>
  <si>
    <t>Die Frau schneidet das Fleisch mit einem Messer.</t>
  </si>
  <si>
    <t>Wir essen unsere Kartoffeln mit der Gabel.</t>
  </si>
  <si>
    <t>Ich esse die Soße mit dem Löffel.</t>
  </si>
  <si>
    <t>Das Essen in dem Restaurant ist sehr gut.</t>
  </si>
  <si>
    <t>Die Soße hat keinen Geschmack.</t>
  </si>
  <si>
    <t>Geben sie mir noch eine Tüte.</t>
  </si>
  <si>
    <t>Ich kaufe mir Zigaretten am Kiosk.</t>
  </si>
  <si>
    <t>Geben sie mir bitte ihr Feuerzeug.</t>
  </si>
  <si>
    <t>Die Streichhölzer kosten nichts.</t>
  </si>
  <si>
    <t>Der Kellner kommt mit der Speisekarte</t>
  </si>
  <si>
    <t>Der Verkäufer gibt dem Kind ein bisschen Schokolade.</t>
  </si>
  <si>
    <t>Haben sie noch einen Wunsch?</t>
  </si>
  <si>
    <t>Das Restaurant kauft die Lebensmittel im Handel.</t>
  </si>
  <si>
    <t>Das ist kein guter Kauf.</t>
  </si>
  <si>
    <t>Deine Ernährung ist schlecht.</t>
  </si>
  <si>
    <t>Ich esse drei Mahlzeiten am Tag.</t>
  </si>
  <si>
    <t>Der Service im Restaurant ist sehr schlecht.</t>
  </si>
  <si>
    <t>Trinken sie mindestens zwei Liter am Tag.</t>
  </si>
  <si>
    <t>Ich möchte meinen Kaffee mit viel Zucker.</t>
  </si>
  <si>
    <t>Ist genug Salz an der Soße?</t>
  </si>
  <si>
    <t>Ich nehme genau hundert gramm Nüsse.</t>
  </si>
  <si>
    <t>Sehr viele Kinder mögen Schokolade.</t>
  </si>
  <si>
    <t>Ich möchte ungefähr ein Pfund Spinat.</t>
  </si>
  <si>
    <t>Ich möchte nur wenig Zucker.</t>
  </si>
  <si>
    <t>Das ist zu wenig Milch.</t>
  </si>
  <si>
    <t>Er trinkt zu viel Bier.</t>
  </si>
  <si>
    <t>Geben sie mir etwas Sahne bitte.</t>
  </si>
  <si>
    <t>Ich esse nichts im Restaurant.</t>
  </si>
  <si>
    <t>Du isst keine Pommes Frites.</t>
  </si>
  <si>
    <t>Er möchte mehr Honig bitte.</t>
  </si>
  <si>
    <t>Das sind fast zwei Kilo Tomaten.</t>
  </si>
  <si>
    <t>Wieviele Gurken möchten sie?</t>
  </si>
  <si>
    <t>Die Tomaten kosten drei Euro je Kilo.</t>
  </si>
  <si>
    <t>Geben sie etwa dreihundert Gramm Mehl an die Soße.</t>
  </si>
  <si>
    <t>Pro Flasche kostet der Wein acht Euro.</t>
  </si>
  <si>
    <t>Zweihundert Gramm Fleisch bitte.</t>
  </si>
  <si>
    <t>Fünfhundert Gramm sind ein Pfund.</t>
  </si>
  <si>
    <t>Zwei Pfund sind ein Kilogramm.</t>
  </si>
  <si>
    <t>Wasser kocht bei hundert Grad Celsius.</t>
  </si>
  <si>
    <t>tausend Mililiter sind ein Liter.</t>
  </si>
  <si>
    <t>Wir trinken zwei Liter Wasser am Tag.</t>
  </si>
  <si>
    <t>Der Mann trinkt einen halben Liter Wein.</t>
  </si>
  <si>
    <t>Der Fleischer verkauft die Wurst in der Dose.</t>
  </si>
  <si>
    <t>Zwei Scheiben Wurst bitte.</t>
  </si>
  <si>
    <t>Möchtest du Butter auf dein Brot?</t>
  </si>
  <si>
    <t>Der Käse kommt aus Deutschland.</t>
  </si>
  <si>
    <t>Ich schneide die Wurst in Scheiben.</t>
  </si>
  <si>
    <t>Die Frau kocht ein Ei für das Kind.</t>
  </si>
  <si>
    <t>Geben sie ein bisschen Mehl in die Soße.</t>
  </si>
  <si>
    <t>Reichst du mir bitte den Pfeffer.</t>
  </si>
  <si>
    <t>Nur ein bisschen Salz bitte.</t>
  </si>
  <si>
    <t>Ich möchte ein bisschen Zucker in meinen Tee bitte.</t>
  </si>
  <si>
    <t>Sie kocht mit viel Öl.</t>
  </si>
  <si>
    <t>Es ist viel Essig am Salat.</t>
  </si>
  <si>
    <t>Die Nudeln kochen in zwei Minuten.</t>
  </si>
  <si>
    <t>Ich nehme noch einen Teller Reis bitte.</t>
  </si>
  <si>
    <t>Der Fisch ist sehr frisch.</t>
  </si>
  <si>
    <t>Ich esse kein Fleisch.</t>
  </si>
  <si>
    <t>Der Kunde kauft Geflügel.</t>
  </si>
  <si>
    <t>Schneide das Brot bitte in Scheiben.</t>
  </si>
  <si>
    <t>Ich schneide das Brötchen in zwei Hälften.</t>
  </si>
  <si>
    <t>Der Kuchen im cafe ist sehr teuer.</t>
  </si>
  <si>
    <t>Da ist zu viel Salz an der Suppe.</t>
  </si>
  <si>
    <t>Mein Kind bekommt keine Pommes Frites.</t>
  </si>
  <si>
    <t>Kinder mögen Schokolade.</t>
  </si>
  <si>
    <t>Geben sie mir noch ein bisschen Eis bitte.</t>
  </si>
  <si>
    <t>Ich esse ein Brötchen mit Honig.</t>
  </si>
  <si>
    <t>Der Schinken kostet nur fünf Euro das Kilo.</t>
  </si>
  <si>
    <t>Die Marmelade ist aus Erdbeeren.</t>
  </si>
  <si>
    <t>Ich möchte einen Kaffee mit Sahne bitte.</t>
  </si>
  <si>
    <t>Der Mann kocht eine Soße aus Zwiebeln und Tomaten.</t>
  </si>
  <si>
    <t>Das Schnitzel kostet zwölf Euro im Restaurant.</t>
  </si>
  <si>
    <t>Die Lebensmittel im Supermarkt sind sehr günstig.</t>
  </si>
  <si>
    <t>Tee Kaffee und Saft sind Getränke.</t>
  </si>
  <si>
    <t>Ich trinke nur Bier.</t>
  </si>
  <si>
    <t>Ich mag keinen Wein.</t>
  </si>
  <si>
    <t>Ich möchte meinen Kaffee mit Milch und Zucker bitte.</t>
  </si>
  <si>
    <t>Ich nehme ein bisschen Zucker in meinen Tee bitte.</t>
  </si>
  <si>
    <t>Das Kind mag Milch.</t>
  </si>
  <si>
    <t>Der Saft ist sehr süß.</t>
  </si>
  <si>
    <t>Ich trinke Mineralwasser aus der Flasche.</t>
  </si>
  <si>
    <t>Auf dem Markt gibt es frisches Gemüse.</t>
  </si>
  <si>
    <t>Der Supermarkt verkauft gutes Essen.</t>
  </si>
  <si>
    <t>Am Kiosk gibt es kein Gemüse.</t>
  </si>
  <si>
    <t>Ich kaufe ein Brot in der Bäckerei.</t>
  </si>
  <si>
    <t>Der Frisör ist sehr teuer.</t>
  </si>
  <si>
    <t>Ich trinke einen Kaffee im cafe.</t>
  </si>
  <si>
    <t>Das Restaurant hat gutes Essen.</t>
  </si>
  <si>
    <t>Es gibt nur Süßigkeiten in dem Geschäft.</t>
  </si>
  <si>
    <t>Die Kinder mögen kein Gemüse.</t>
  </si>
  <si>
    <t>Ich möchte eine Aubergine bitte.</t>
  </si>
  <si>
    <t>Magst du keine Paprika?</t>
  </si>
  <si>
    <t>Ich esse Spinat mit Reis.</t>
  </si>
  <si>
    <t>Wir kochen Bohnen mit Kartoffeln und Soße.</t>
  </si>
  <si>
    <t>Geben sie mir bitte ein Kilo Erbsen.</t>
  </si>
  <si>
    <t>Die Karotten kosten zwei Euro das Kilo.</t>
  </si>
  <si>
    <t>Ich kaufe Mais aus der Dose.</t>
  </si>
  <si>
    <t>Die Kartoffeln sind verfault.</t>
  </si>
  <si>
    <t>Die Tomaten kommen aus Deutschland.</t>
  </si>
  <si>
    <t>Ich möchte nur eine Gurke bitte.</t>
  </si>
  <si>
    <t>Die Frau schneidet die Zwiebel in das Essen.</t>
  </si>
  <si>
    <t>Ich esse keine Zucchini.</t>
  </si>
  <si>
    <t>Der Mann kocht eine Pilzsoße.</t>
  </si>
  <si>
    <t>Geben sie einhundert Gramm Nüsse in den Salat.</t>
  </si>
  <si>
    <t>Ich möchte keinen Salat bitte.</t>
  </si>
  <si>
    <t>Der Geldautomat gibt kein Geld aus.</t>
  </si>
  <si>
    <t>Heute sind Erdbeeren im Angebot.</t>
  </si>
  <si>
    <t>Welchen Preis haben die Tomaten?</t>
  </si>
  <si>
    <t>Der Kunde bezahlt an der Kasse.</t>
  </si>
  <si>
    <t>In meiner Geldbörse sind hundert Euro.</t>
  </si>
  <si>
    <t>Ich habe meinen Ausweis in der Brieftasche.</t>
  </si>
  <si>
    <t>Die Rechnung kommt später.</t>
  </si>
  <si>
    <t>Schreiben sie bitte ihre Kontonummer auf.</t>
  </si>
  <si>
    <t>Meine Bankleitzahl ist auf dem Formular.</t>
  </si>
  <si>
    <t>Ich zahle mit Kreditkarte.</t>
  </si>
  <si>
    <t>ich habe das Geld in meiner Geldbörse</t>
  </si>
  <si>
    <t>In Deutschland zahlen sie mit Euros.</t>
  </si>
  <si>
    <t>Haben sie noch zehn Cent?</t>
  </si>
  <si>
    <t>Mein Geld ist auf der Bank.</t>
  </si>
  <si>
    <t>Ich mag meine Mutter gerne.</t>
  </si>
  <si>
    <t>Die meisten Zitronen sind sauer.</t>
  </si>
  <si>
    <t>Natürlich möchte ich Milch in meinen Kaffee.</t>
  </si>
  <si>
    <t>Ich mag das nicht.</t>
  </si>
  <si>
    <t>Ich nehme noch einen Kaffee.</t>
  </si>
  <si>
    <t>Ich habe nur zwei Euro.</t>
  </si>
  <si>
    <t>Der Supermarkt ist zu.</t>
  </si>
  <si>
    <t>Die Flasche ist auf.</t>
  </si>
  <si>
    <t>Ich möchte Mineralwasser aus der Flasche.</t>
  </si>
  <si>
    <t>Ab zwei Kilo kosten die Tomaten nur zwei Euro.</t>
  </si>
  <si>
    <t>Er verkauft aber kein Brot.</t>
  </si>
  <si>
    <t>Die Nudeln sind da.</t>
  </si>
  <si>
    <t>Sie nimmt doch zwei Kilo Tomaten.</t>
  </si>
  <si>
    <t>Es ist egal.</t>
  </si>
  <si>
    <t>Ich habe eine Tüte dabei.</t>
  </si>
  <si>
    <t>Ich bin satt.</t>
  </si>
  <si>
    <t>Die Erdbeeren sind zu süß.</t>
  </si>
  <si>
    <t>Die Suppe ist nicht sehr scharf.</t>
  </si>
  <si>
    <t>Ich mag mein Essen salzig.</t>
  </si>
  <si>
    <t>Der Honig ist sehr billig.</t>
  </si>
  <si>
    <t>Das Brot in der Bäckerei ist teuer.</t>
  </si>
  <si>
    <t>Die Milch im Supermarkt ist günstig.</t>
  </si>
  <si>
    <t>Ich möchte ein Kilo frische Tomaten bitte.</t>
  </si>
  <si>
    <t>rot</t>
  </si>
  <si>
    <t>gelb</t>
  </si>
  <si>
    <t>blau</t>
  </si>
  <si>
    <t>grün</t>
  </si>
  <si>
    <t>braun</t>
  </si>
  <si>
    <t>grau</t>
  </si>
  <si>
    <t>schwarz</t>
  </si>
  <si>
    <t>weiß</t>
  </si>
  <si>
    <t>rosa</t>
  </si>
  <si>
    <t>orange</t>
  </si>
  <si>
    <t>lila</t>
  </si>
  <si>
    <t>kurz</t>
  </si>
  <si>
    <t>gleich</t>
  </si>
  <si>
    <t>anders</t>
  </si>
  <si>
    <t>neu</t>
  </si>
  <si>
    <t>alt</t>
  </si>
  <si>
    <t>preiswert</t>
  </si>
  <si>
    <t>besonders</t>
  </si>
  <si>
    <t>weich</t>
  </si>
  <si>
    <t>echt</t>
  </si>
  <si>
    <t>sich ausziehen</t>
  </si>
  <si>
    <t>sich anziehen</t>
  </si>
  <si>
    <t>empfehlen</t>
  </si>
  <si>
    <t>passen</t>
  </si>
  <si>
    <t>vergleichen</t>
  </si>
  <si>
    <t>gehören</t>
  </si>
  <si>
    <t>tragen</t>
  </si>
  <si>
    <t>gefallen</t>
  </si>
  <si>
    <t>ausgeben</t>
  </si>
  <si>
    <t>brauchen</t>
  </si>
  <si>
    <t>die Kleidung</t>
  </si>
  <si>
    <t>die Hose</t>
  </si>
  <si>
    <t>der Rock</t>
  </si>
  <si>
    <t>das Kleid</t>
  </si>
  <si>
    <t>die Bluse</t>
  </si>
  <si>
    <t>das Hemd</t>
  </si>
  <si>
    <t>der Anzug</t>
  </si>
  <si>
    <t>die Krawatte</t>
  </si>
  <si>
    <t>das Kostüm</t>
  </si>
  <si>
    <t>der Pullover</t>
  </si>
  <si>
    <t>die Weste</t>
  </si>
  <si>
    <t>das T-Shirt</t>
  </si>
  <si>
    <t>die Jeans</t>
  </si>
  <si>
    <t>die Jacke</t>
  </si>
  <si>
    <t>der Mantel</t>
  </si>
  <si>
    <t>die Mütze</t>
  </si>
  <si>
    <t>der Handschuh</t>
  </si>
  <si>
    <t>der Schal</t>
  </si>
  <si>
    <t>das Kopftuch</t>
  </si>
  <si>
    <t>der Gürtel</t>
  </si>
  <si>
    <t>der Schuh</t>
  </si>
  <si>
    <t>der Stiefel</t>
  </si>
  <si>
    <t>die Socke</t>
  </si>
  <si>
    <t>das Unterhemd</t>
  </si>
  <si>
    <t>die Unterhose</t>
  </si>
  <si>
    <t>die Farbe</t>
  </si>
  <si>
    <t>der Ring</t>
  </si>
  <si>
    <t>die Qualität</t>
  </si>
  <si>
    <t>das Kaufhaus</t>
  </si>
  <si>
    <t>die Ermäßigung</t>
  </si>
  <si>
    <t>das Sonderangebot</t>
  </si>
  <si>
    <t>jede</t>
  </si>
  <si>
    <t>letzte</t>
  </si>
  <si>
    <t>denn</t>
  </si>
  <si>
    <t>manche</t>
  </si>
  <si>
    <t>beide</t>
  </si>
  <si>
    <t>mehrere</t>
  </si>
  <si>
    <t>dafür</t>
  </si>
  <si>
    <t>eigene</t>
  </si>
  <si>
    <t>einverstanden</t>
  </si>
  <si>
    <t>paar</t>
  </si>
  <si>
    <t>bis zu</t>
  </si>
  <si>
    <t>einige</t>
  </si>
  <si>
    <t>ohne</t>
  </si>
  <si>
    <t>sondern</t>
  </si>
  <si>
    <t>Das Kind zieht seine Kleidung aus.</t>
  </si>
  <si>
    <t>Der Mann zieht sich an.</t>
  </si>
  <si>
    <t>Der Verkäufer empfiehlt die rote Jacke.</t>
  </si>
  <si>
    <t>Passen dir die Schuhe?</t>
  </si>
  <si>
    <t>Die Frau vergleicht die Sonderangebote.</t>
  </si>
  <si>
    <t>Die Socken gehören meinem Kind.</t>
  </si>
  <si>
    <t>Sie trägt ein rotes T-Shirt und einen kurzen Rock.</t>
  </si>
  <si>
    <t>Gefällt dir mein Pullover?</t>
  </si>
  <si>
    <t>Ich gebe nur zwanzig Euro aus.</t>
  </si>
  <si>
    <t>Brauchen sie auch noch ein Hemd?</t>
  </si>
  <si>
    <t>Du trägst schöne Kleidung.</t>
  </si>
  <si>
    <t>Ziehen sie bitte die Hose aus.</t>
  </si>
  <si>
    <t>Die Frau zieht sich einen anderen Rock an.</t>
  </si>
  <si>
    <t>Dein Kleid ist rot.</t>
  </si>
  <si>
    <t>Ihre Bluse ist sehr teuer.</t>
  </si>
  <si>
    <t>Wir tragen das gleiche T-Shirt.</t>
  </si>
  <si>
    <t>Der Gast trägt einen billigen Anzug.</t>
  </si>
  <si>
    <t>Der Verkäufer gibt mir eine rote Krawatte.</t>
  </si>
  <si>
    <t>Das Kostüm ist ein Sonderangebot.</t>
  </si>
  <si>
    <t>Geben sie mir eine Ermäßigung für den Pullover.</t>
  </si>
  <si>
    <t>Der Mann trägt keine Weste.</t>
  </si>
  <si>
    <t>Das T-Shirt passt dem Kind nicht.</t>
  </si>
  <si>
    <t>Seine Jeans sind blau.</t>
  </si>
  <si>
    <t>Der Verkäufer empfiehlt dem Mann die schwarze Jacke.</t>
  </si>
  <si>
    <t>Den Mantel kaufe ich nicht.</t>
  </si>
  <si>
    <t>Das Kind zieht eine gute Mütze an.</t>
  </si>
  <si>
    <t>Die Frau trägt keine Handschuhe.</t>
  </si>
  <si>
    <t>Dein Schal gefällt mir.</t>
  </si>
  <si>
    <t>Ich gebe nur zehn Euro für das Kopftuch aus.</t>
  </si>
  <si>
    <t>Gehört dir der Gürtel?</t>
  </si>
  <si>
    <t>Meine Schuhe sind zu alt.</t>
  </si>
  <si>
    <t>Die Stiefel gehören mir nicht.</t>
  </si>
  <si>
    <t>Ich brauche neue Socken.</t>
  </si>
  <si>
    <t>Das Kind trägt kein Unterhemd.</t>
  </si>
  <si>
    <t>Meine Unterhosen kommen aus Deutschland.</t>
  </si>
  <si>
    <t>Die Hose hat eine schöne Farbe.</t>
  </si>
  <si>
    <t>Sie trägt einen schönen Ring.</t>
  </si>
  <si>
    <t>Die Qualität der T-Shirts ist sehr schlecht.</t>
  </si>
  <si>
    <t>Ich kaufe meine Kleidung im Kaufhaus.</t>
  </si>
  <si>
    <t>Ich brauche eine Ermäßigung, sonst kaufe ich die Hose nicht.</t>
  </si>
  <si>
    <t>Der Pullover ist ein Sonderangebot.</t>
  </si>
  <si>
    <t>Jede Hose kostet nur zwanzig Euro.</t>
  </si>
  <si>
    <t>Das ist das letzte grüne T-Shirt.</t>
  </si>
  <si>
    <t>Ich brauche kein T-Shirt, denn ich habe noch viele.</t>
  </si>
  <si>
    <t>Manche Geschäfte haben keine Socken mehr.</t>
  </si>
  <si>
    <t>Beide Hosen sind sehr schön.</t>
  </si>
  <si>
    <t>Ich brauche mehrere T-Shirts.</t>
  </si>
  <si>
    <t>Ich gebe ihnen nur zehn Euro dafür.</t>
  </si>
  <si>
    <t>Sind das ihre eigenen Schuhe?</t>
  </si>
  <si>
    <t>Ich bin einverstanden.</t>
  </si>
  <si>
    <t>Der Mann braucht ein paar Schuhe.</t>
  </si>
  <si>
    <t>Die T-Shirts kosten bis zu dreißig Euro.</t>
  </si>
  <si>
    <t>Wir haben nur einige Jacken.</t>
  </si>
  <si>
    <t>Die Hose verkaufen wir ohne den Gürtel.</t>
  </si>
  <si>
    <t>Du brauchst kein T-Shirt sondern einen Pullover.</t>
  </si>
  <si>
    <t>Das Kind trägt ein rotes T-Shirt.</t>
  </si>
  <si>
    <t>Ich möchte bitte eine gelbe Jacke.</t>
  </si>
  <si>
    <t>Die Frau trägt ein blaues Kopftuch.</t>
  </si>
  <si>
    <t>Mein Pullover ist grün.</t>
  </si>
  <si>
    <t>Die Farbe seiner Hose ist braun.</t>
  </si>
  <si>
    <t>Er trägt eine graue Mütze.</t>
  </si>
  <si>
    <t>Wir brauchen schwarze Schuhe.</t>
  </si>
  <si>
    <t>Wem gehören die weißen Socken?</t>
  </si>
  <si>
    <t>Ihr Kostüm ist rosa.</t>
  </si>
  <si>
    <t>Ich kaufe den orangenen Rock.</t>
  </si>
  <si>
    <t>Ich trage keine lila Hose.</t>
  </si>
  <si>
    <t>Die Frau trägt einen kurzen Rock.</t>
  </si>
  <si>
    <t>Ich helfe ihnen gleich.</t>
  </si>
  <si>
    <t>Haben sie auch andere T-Shirts?</t>
  </si>
  <si>
    <t>Mein Kind braucht neue Schuhe.</t>
  </si>
  <si>
    <t>Seine Jacke ist sehr alt.</t>
  </si>
  <si>
    <t>Die Kleidung in dem Geschäft ist sehr preiswert.</t>
  </si>
  <si>
    <t>Das Kleid ist besonders schön.</t>
  </si>
  <si>
    <t>Sein Pullover ist sehr weich.</t>
  </si>
  <si>
    <t>Die Jeans ist eine echte Levis.</t>
  </si>
  <si>
    <t>duschen</t>
  </si>
  <si>
    <t>baden</t>
  </si>
  <si>
    <t>sich kämmen</t>
  </si>
  <si>
    <t>sich rasieren</t>
  </si>
  <si>
    <t>rauchen</t>
  </si>
  <si>
    <t>riechen</t>
  </si>
  <si>
    <t>schmecken</t>
  </si>
  <si>
    <t>sitzen</t>
  </si>
  <si>
    <t>stehen</t>
  </si>
  <si>
    <t>wehtun</t>
  </si>
  <si>
    <t>ansehen</t>
  </si>
  <si>
    <t>da sein</t>
  </si>
  <si>
    <t>dauern</t>
  </si>
  <si>
    <t>abgeben</t>
  </si>
  <si>
    <t>passieren</t>
  </si>
  <si>
    <t>untersuchen</t>
  </si>
  <si>
    <t>anschauen</t>
  </si>
  <si>
    <t>mitnehmen</t>
  </si>
  <si>
    <t>müssen</t>
  </si>
  <si>
    <t>dürfen</t>
  </si>
  <si>
    <t>melden</t>
  </si>
  <si>
    <t>tun</t>
  </si>
  <si>
    <t>vermeiden</t>
  </si>
  <si>
    <t>wirken</t>
  </si>
  <si>
    <t>pflegen</t>
  </si>
  <si>
    <t>reagieren</t>
  </si>
  <si>
    <t>ausruhen</t>
  </si>
  <si>
    <t>hinfallen</t>
  </si>
  <si>
    <t>zunehmen</t>
  </si>
  <si>
    <t>beraten</t>
  </si>
  <si>
    <t>machen</t>
  </si>
  <si>
    <t>sollen</t>
  </si>
  <si>
    <t>Bescheid sagen</t>
  </si>
  <si>
    <t>die Seife</t>
  </si>
  <si>
    <t>das Shampoo</t>
  </si>
  <si>
    <t>das Handtuch</t>
  </si>
  <si>
    <t>die Zahnbürste</t>
  </si>
  <si>
    <t>die Zahnpasta</t>
  </si>
  <si>
    <t>die Creme</t>
  </si>
  <si>
    <t>das Pflaster</t>
  </si>
  <si>
    <t>das Medikament</t>
  </si>
  <si>
    <t>die Tablette</t>
  </si>
  <si>
    <t>der Arzt/ die Ärztin</t>
  </si>
  <si>
    <t>die Krankenschwester</t>
  </si>
  <si>
    <t>der Patient/ die Patientin</t>
  </si>
  <si>
    <t>die Versichertenkarte</t>
  </si>
  <si>
    <t>die Praxis</t>
  </si>
  <si>
    <t>das Krankenhaus</t>
  </si>
  <si>
    <t>der Krankenwagen</t>
  </si>
  <si>
    <t>der Verband</t>
  </si>
  <si>
    <t>die Vergangenheit</t>
  </si>
  <si>
    <t>die Fitness</t>
  </si>
  <si>
    <t>das Problem</t>
  </si>
  <si>
    <t>die Reihenfolge</t>
  </si>
  <si>
    <t>das Mal</t>
  </si>
  <si>
    <t>die Anmeldung</t>
  </si>
  <si>
    <t>die Apotheke</t>
  </si>
  <si>
    <t>das Wartezimmer</t>
  </si>
  <si>
    <t>die Ahnung</t>
  </si>
  <si>
    <t>die Hilfe</t>
  </si>
  <si>
    <t>Versichertenkarte</t>
  </si>
  <si>
    <t>die Vorsicht</t>
  </si>
  <si>
    <t>der Alkohol</t>
  </si>
  <si>
    <t>der Schnupfen</t>
  </si>
  <si>
    <t>die Besserung</t>
  </si>
  <si>
    <t>die Salbe</t>
  </si>
  <si>
    <t>der Spaziergang</t>
  </si>
  <si>
    <t>der Tipp</t>
  </si>
  <si>
    <t>die Situation</t>
  </si>
  <si>
    <t>der Notdienst</t>
  </si>
  <si>
    <t>die Notrufnummer</t>
  </si>
  <si>
    <t>Nichtraucher</t>
  </si>
  <si>
    <t>der Körper</t>
  </si>
  <si>
    <t>der Kopf</t>
  </si>
  <si>
    <t>die Brust</t>
  </si>
  <si>
    <t>das Bein</t>
  </si>
  <si>
    <t>der Fuß</t>
  </si>
  <si>
    <t>der Hals</t>
  </si>
  <si>
    <t>der  Bauch</t>
  </si>
  <si>
    <t>das Knie</t>
  </si>
  <si>
    <t>der Zeh</t>
  </si>
  <si>
    <t>der Rücken</t>
  </si>
  <si>
    <t>die Schulter</t>
  </si>
  <si>
    <t>der Arm</t>
  </si>
  <si>
    <t>der Ellbogen</t>
  </si>
  <si>
    <t>der Finger</t>
  </si>
  <si>
    <t>die Hand</t>
  </si>
  <si>
    <t>der Po</t>
  </si>
  <si>
    <t>das Gesicht</t>
  </si>
  <si>
    <t>das Haar</t>
  </si>
  <si>
    <t>die Nase</t>
  </si>
  <si>
    <t>der Mund</t>
  </si>
  <si>
    <t>die Lippe</t>
  </si>
  <si>
    <t>der Zahn</t>
  </si>
  <si>
    <t>die Zunge</t>
  </si>
  <si>
    <t>das Ohr</t>
  </si>
  <si>
    <t>das Auge</t>
  </si>
  <si>
    <t>die Haut</t>
  </si>
  <si>
    <t>das Herz</t>
  </si>
  <si>
    <t>der Schmerz</t>
  </si>
  <si>
    <t>das Fieber</t>
  </si>
  <si>
    <t>das Blut</t>
  </si>
  <si>
    <t>die Krankheit</t>
  </si>
  <si>
    <t>die Gesundheit</t>
  </si>
  <si>
    <t>der Husten</t>
  </si>
  <si>
    <t>die Diät</t>
  </si>
  <si>
    <t>die Erkältung</t>
  </si>
  <si>
    <t>die Bewegung</t>
  </si>
  <si>
    <t>bei</t>
  </si>
  <si>
    <t>bestimmt</t>
  </si>
  <si>
    <t>beste</t>
  </si>
  <si>
    <t>manchmal</t>
  </si>
  <si>
    <t>meistens</t>
  </si>
  <si>
    <t>diese</t>
  </si>
  <si>
    <t>endlich</t>
  </si>
  <si>
    <t>schließlich</t>
  </si>
  <si>
    <t>sonst</t>
  </si>
  <si>
    <t>schon</t>
  </si>
  <si>
    <t>deshalb</t>
  </si>
  <si>
    <t>hoffentlich</t>
  </si>
  <si>
    <t>nie</t>
  </si>
  <si>
    <t>damit</t>
  </si>
  <si>
    <t>gesund</t>
  </si>
  <si>
    <t>krank</t>
  </si>
  <si>
    <t>tot</t>
  </si>
  <si>
    <t>dick</t>
  </si>
  <si>
    <t>dünn</t>
  </si>
  <si>
    <t>groß</t>
  </si>
  <si>
    <t>klein</t>
  </si>
  <si>
    <t>oft</t>
  </si>
  <si>
    <t>ungesund</t>
  </si>
  <si>
    <t>wichtig</t>
  </si>
  <si>
    <t>plötzlich</t>
  </si>
  <si>
    <t>schlimm</t>
  </si>
  <si>
    <t>persönlich</t>
  </si>
  <si>
    <t>selten</t>
  </si>
  <si>
    <t>möglich</t>
  </si>
  <si>
    <t>aktiv</t>
  </si>
  <si>
    <t>normal</t>
  </si>
  <si>
    <t>schlank</t>
  </si>
  <si>
    <t>regelmäßig</t>
  </si>
  <si>
    <t>Das Kind duscht abends.</t>
  </si>
  <si>
    <t>Die Frau badet nie.</t>
  </si>
  <si>
    <t>Der Mann kämmt sich die Haare.</t>
  </si>
  <si>
    <t>Ich rasiere mich immer morgens.</t>
  </si>
  <si>
    <t>Das Kind raucht eine Zigarette.</t>
  </si>
  <si>
    <t>Deine Füße riechen nicht gut.</t>
  </si>
  <si>
    <t>Das Essen schmeckt sehr gut.</t>
  </si>
  <si>
    <t>Der Patient sitzt im Wartezimmer.</t>
  </si>
  <si>
    <t>Ich stehe auf beiden Füßen.</t>
  </si>
  <si>
    <t>Ich warte auf die Krankenschwester.</t>
  </si>
  <si>
    <t>Mein Bauch tut weh.</t>
  </si>
  <si>
    <t>Der Arzt sieht sich meinen Körper an.</t>
  </si>
  <si>
    <t>Die Seife ist nicht da.</t>
  </si>
  <si>
    <t>Es dauert sehr lange beim Arzt.</t>
  </si>
  <si>
    <t>Sagen sie mir wo es weh tut.</t>
  </si>
  <si>
    <t>Geben sie bitte ihre Versichertenkarte in der Anmeldung ab.</t>
  </si>
  <si>
    <t>Was ist passiert?</t>
  </si>
  <si>
    <t>Der Arzt untersucht den Patienten.</t>
  </si>
  <si>
    <t>Das muss sich der Arzt anschauen.</t>
  </si>
  <si>
    <t>Nehmen sie bitte ihre Versichertenkarte mit.</t>
  </si>
  <si>
    <t>Sie müssen mehr trinken.</t>
  </si>
  <si>
    <t>Sie dürfen nicht so viel rauchen.</t>
  </si>
  <si>
    <t>Melden sie sich bitte beim Notdienst.</t>
  </si>
  <si>
    <t>Tun sie das nicht.</t>
  </si>
  <si>
    <t>Vermeiden sie bitte Alkohol.</t>
  </si>
  <si>
    <t>Das Medikament wirkt nicht.</t>
  </si>
  <si>
    <t>Sie wartet auf Hilfe.</t>
  </si>
  <si>
    <t>Die Krankenschwester pflegt den Mann.</t>
  </si>
  <si>
    <t>Sie müssen sofort reagieren.</t>
  </si>
  <si>
    <t>Die Frauen müssen sich ausruhen.</t>
  </si>
  <si>
    <t>Das Kind fällt hin.</t>
  </si>
  <si>
    <t>Sie dürfen nicht noch mehr zunehmen.</t>
  </si>
  <si>
    <t>Der Mann in der Apotheke berät die kranke Frau.</t>
  </si>
  <si>
    <t>Sie müssen mehr Fitness machen.</t>
  </si>
  <si>
    <t>Wie oft soll ich das Medikament nehmen?</t>
  </si>
  <si>
    <t>Sagen sie bitte im Wartezimmer bescheid.</t>
  </si>
  <si>
    <t>Die Seife kostet nur zwei Euro.</t>
  </si>
  <si>
    <t>Das Shampoo ist aus dem Supermarkt.</t>
  </si>
  <si>
    <t>Das Handtuch brauche ich nicht.</t>
  </si>
  <si>
    <t>Ich habe zwei Zahnbürsten.</t>
  </si>
  <si>
    <t>Das Kind nimmt keine Zahnpasta.</t>
  </si>
  <si>
    <t>Der Arzt empfiehlt dem Mann eine Creme.</t>
  </si>
  <si>
    <t>Das Pflaster hilft nicht.</t>
  </si>
  <si>
    <t>Das Medikament wirkt gut.</t>
  </si>
  <si>
    <t>Ich nehme morgens und abends Tabletten.</t>
  </si>
  <si>
    <t>Der Arzt sagt du bist gesund.</t>
  </si>
  <si>
    <t>Die Krankenschwester ist sehr schön.</t>
  </si>
  <si>
    <t>Der Patient muss auf den Arzt warten.</t>
  </si>
  <si>
    <t>Sie müssen ihre Versichertenkarte mitbringen.</t>
  </si>
  <si>
    <t>Ich bin in der Arztpraxis.</t>
  </si>
  <si>
    <t>Im Krankenhaus haben sie nichts gemacht.</t>
  </si>
  <si>
    <t>Der Krankenwagen kommt zu uns.</t>
  </si>
  <si>
    <t>Sie brauchen einen Verband.</t>
  </si>
  <si>
    <t>In der Vergangenheit war meine Ernährung sehr schlecht.</t>
  </si>
  <si>
    <t>Du musst mehr Fitness machen.</t>
  </si>
  <si>
    <t>Ich habe ein Problem mit dem Medikament.</t>
  </si>
  <si>
    <t>Im Wartezimmer gibt es eine Reihenfolge.</t>
  </si>
  <si>
    <t>Sie war dieses Jahr fünf Mal krank.</t>
  </si>
  <si>
    <t>Ich bin an der Anmeldung.</t>
  </si>
  <si>
    <t>Die Apotheke verkauft dieses Medikament nicht.</t>
  </si>
  <si>
    <t>Warten sie bitte im Wartezimmer.</t>
  </si>
  <si>
    <t>Ich habe keine Ahnung was das Problem ist.</t>
  </si>
  <si>
    <t>Brauchen sie meine Hilfe?</t>
  </si>
  <si>
    <t>Haben sie ihre Versichertenkarte dabei?</t>
  </si>
  <si>
    <t>Vorsicht mit Alkohol.</t>
  </si>
  <si>
    <t>Zu viel Alkohol ist schlecht für ihre Gesundheit.</t>
  </si>
  <si>
    <t>Ich habe nur einen Schnupfen.</t>
  </si>
  <si>
    <t>Gute Besserung.</t>
  </si>
  <si>
    <t>Die Salbe hilft.</t>
  </si>
  <si>
    <t>Machen sie jeden Tag einen Spaziergang.</t>
  </si>
  <si>
    <t>Der Arzt hat mir einen guten Tipp gegeben.</t>
  </si>
  <si>
    <t>In ihrer Situation dürfen sie keinen Alkohol trinken.</t>
  </si>
  <si>
    <t>Ich sage dem Notdienst bescheid.</t>
  </si>
  <si>
    <t>Wählen sie bitte die Notrufnummer.</t>
  </si>
  <si>
    <t>Sind sie Nichtraucher?</t>
  </si>
  <si>
    <t>Mein Körper ist gesund.</t>
  </si>
  <si>
    <t>Mein Kopf tut weh.</t>
  </si>
  <si>
    <t>Deine Brust tut weh.</t>
  </si>
  <si>
    <t>Sein Bein ist dick.</t>
  </si>
  <si>
    <t>Was ist mit deinem Fuß passiert?</t>
  </si>
  <si>
    <t>Der Hals tut weh.</t>
  </si>
  <si>
    <t>Ich habe Bauchschmerzen.</t>
  </si>
  <si>
    <t>Ich muss mein Knie ausruhen.</t>
  </si>
  <si>
    <t>Dein Zeh ist sehr groß.</t>
  </si>
  <si>
    <t>Auf deinem Rücken ist Blut.</t>
  </si>
  <si>
    <t>Unsere Schultern sind schön.</t>
  </si>
  <si>
    <t>Der Arzt soll sich deinen Arm ansehen.</t>
  </si>
  <si>
    <t>Seit wann tut ihnen der Ellenbogen weh?</t>
  </si>
  <si>
    <t>Ich brauche einen Ring für meinen Finger.</t>
  </si>
  <si>
    <t>Die Hand des Kindes ist klein.</t>
  </si>
  <si>
    <t>Ihr Po ist sehr dick.</t>
  </si>
  <si>
    <t>Er hat ein schönes Gesicht.</t>
  </si>
  <si>
    <t>Sie kämmt sich die Haare.</t>
  </si>
  <si>
    <t>Mit deiner Nase musst du zum Arzt.</t>
  </si>
  <si>
    <t>Sie hat einen kleinen Mund.</t>
  </si>
  <si>
    <t>Meinen Lippen reagieren schlecht auf die Salbe.</t>
  </si>
  <si>
    <t>Mein Zahn tut sehr weh.</t>
  </si>
  <si>
    <t>Der Mann hat keine Zunge.</t>
  </si>
  <si>
    <t>Ich habe Ohrenschmerzen.</t>
  </si>
  <si>
    <t>Deine Augen sind gut.</t>
  </si>
  <si>
    <t>Ihre Haut ist ungesund.</t>
  </si>
  <si>
    <t>Der Mann braucht ein neues Herz.</t>
  </si>
  <si>
    <t>Ich habe große Schmerzen.</t>
  </si>
  <si>
    <t>Sie haben Fieber.</t>
  </si>
  <si>
    <t>Du hast Blut auf deinem T-Shirt.</t>
  </si>
  <si>
    <t>Das Kind hat eine schlimme Krankheit.</t>
  </si>
  <si>
    <t>Die Gesundheit ist sehr wichtig.</t>
  </si>
  <si>
    <t>Wie lange haben sie den Husten?</t>
  </si>
  <si>
    <t>Sie müssen eine Diät machen.</t>
  </si>
  <si>
    <t>Ich habe nur eine Erkältung.</t>
  </si>
  <si>
    <t>Das Kind braucht viel Bewegung.</t>
  </si>
  <si>
    <t>Der Mann ist beim Arzt.</t>
  </si>
  <si>
    <t>Brauchen sie ein bestimmtes Medikament.</t>
  </si>
  <si>
    <t>Die beste Medizin ist auch sehr teuer.</t>
  </si>
  <si>
    <t>Manchmal rauche ich zu viel.</t>
  </si>
  <si>
    <t>Beim Arzt muss ich meistens warten.</t>
  </si>
  <si>
    <t>Nehmen sie das Medikament bitte drei mal am Tag.</t>
  </si>
  <si>
    <t>Dieser Fuß tut nicht weh.</t>
  </si>
  <si>
    <t>Endlich sind wir im Krankenhaus.</t>
  </si>
  <si>
    <t>Sie sind schließlich nicht gesund.</t>
  </si>
  <si>
    <t>Sie dürfen dem Kind keinen Alkohol geben sonst wird es krank.</t>
  </si>
  <si>
    <t>Ich habe meine Tabletten heute schon genommen.</t>
  </si>
  <si>
    <t>Sie sind krank deshalb müssen sie das Medikament nehmen.</t>
  </si>
  <si>
    <t>Hoffentlich wird mein Kind gesund.</t>
  </si>
  <si>
    <t>Ich trinke nie Alkohol.</t>
  </si>
  <si>
    <t>Ich nehme die Tabletten damit ich gesund werde.</t>
  </si>
  <si>
    <t>Die Frau ist gesund.</t>
  </si>
  <si>
    <t>Der Mann ist krank.</t>
  </si>
  <si>
    <t>Der Patient ist tot.</t>
  </si>
  <si>
    <t>Das Kind ist zu dick.</t>
  </si>
  <si>
    <t>Wir müssen weniger essen damit wir dünner werden.</t>
  </si>
  <si>
    <t>Du hast eine große Nase.</t>
  </si>
  <si>
    <t>Ich möchte nur einen kleinen Apfel.</t>
  </si>
  <si>
    <t>Wie oft gehst du zum Arzt?</t>
  </si>
  <si>
    <t>Alkohol ist sehr ungesund.</t>
  </si>
  <si>
    <t>Ihre Gesundheit ist ihr sehr wichtig.</t>
  </si>
  <si>
    <t>Plötzlich hat das Kind Fieber gehabt.</t>
  </si>
  <si>
    <t>Das ist eine schlimme Situation.</t>
  </si>
  <si>
    <t>Das kann ich dem Mann nur persönlich sagen.</t>
  </si>
  <si>
    <t>Wir sind sehr selten krank.</t>
  </si>
  <si>
    <t>Ein Termin heute ist nicht möglich.</t>
  </si>
  <si>
    <t>Der Mann ist noch sehr aktiv.</t>
  </si>
  <si>
    <t>Ich habe einen normalen Körper.</t>
  </si>
  <si>
    <t>Sie hat einen sehr schlanken Körper.</t>
  </si>
  <si>
    <t>Ich gehe regelmäßig zum Arzt.</t>
  </si>
  <si>
    <t>sich freuen</t>
  </si>
  <si>
    <t>lachen</t>
  </si>
  <si>
    <t>weinen</t>
  </si>
  <si>
    <t>sich hinlegen</t>
  </si>
  <si>
    <t>wünschen</t>
  </si>
  <si>
    <t>berichten</t>
  </si>
  <si>
    <t>Lust haben</t>
  </si>
  <si>
    <t>werden</t>
  </si>
  <si>
    <t>lächeln</t>
  </si>
  <si>
    <t>denken</t>
  </si>
  <si>
    <t>sich sorgen</t>
  </si>
  <si>
    <t>leider</t>
  </si>
  <si>
    <t>man</t>
  </si>
  <si>
    <t>wirklich</t>
  </si>
  <si>
    <t>schade</t>
  </si>
  <si>
    <t>also</t>
  </si>
  <si>
    <t>eigentlich</t>
  </si>
  <si>
    <t>glücklich</t>
  </si>
  <si>
    <t>zufrieden</t>
  </si>
  <si>
    <t>unglücklich</t>
  </si>
  <si>
    <t>lieb</t>
  </si>
  <si>
    <t>böse</t>
  </si>
  <si>
    <t>lustig</t>
  </si>
  <si>
    <t>traurig</t>
  </si>
  <si>
    <t>wach</t>
  </si>
  <si>
    <t>müde</t>
  </si>
  <si>
    <t>klar</t>
  </si>
  <si>
    <t>wahr</t>
  </si>
  <si>
    <t>prima</t>
  </si>
  <si>
    <t>toll</t>
  </si>
  <si>
    <t>nett</t>
  </si>
  <si>
    <t>angenehm</t>
  </si>
  <si>
    <t>freundlich</t>
  </si>
  <si>
    <t>Sie freut sich sehr über das Geschenk.</t>
  </si>
  <si>
    <t>Das Kind lacht über den Mann.</t>
  </si>
  <si>
    <t>Die Frau weint jeden Tag.</t>
  </si>
  <si>
    <t>Ich möchte mich jetzt gerne hinlegen.</t>
  </si>
  <si>
    <t>Ich wünsche mir ein schönes Geschenk.</t>
  </si>
  <si>
    <t>Das Kind berichtet von seinem Tag.</t>
  </si>
  <si>
    <t>Wir haben keine Lust zu kochen.</t>
  </si>
  <si>
    <t>Wirst du mir endlich helfen?</t>
  </si>
  <si>
    <t>Der Mann sagt Hallo und die Frau lächelt.</t>
  </si>
  <si>
    <t>Ich denke das Restaurant ist nicht sehr gut.</t>
  </si>
  <si>
    <t>Der Arzt sorgt sich um die Gesundheit des Patienten.</t>
  </si>
  <si>
    <t>leider kann ich ihnen nicht helfen.</t>
  </si>
  <si>
    <t>Das macht man hier nicht.</t>
  </si>
  <si>
    <t>Ich habe wirklich großen Hunger.</t>
  </si>
  <si>
    <t>Schade das Restaurant ist schon zu.</t>
  </si>
  <si>
    <t>Ich habe Hunger also esse ich eine Pizza.</t>
  </si>
  <si>
    <t>Eigentlich möchte ich nicht mit Ihnen sprechen.</t>
  </si>
  <si>
    <t>Ich bin nicht glücklich.</t>
  </si>
  <si>
    <t>Ich bin sehr zufrieden mit dir.</t>
  </si>
  <si>
    <t>Ich bin heute sehr unglücklich.</t>
  </si>
  <si>
    <t>Ich habe dich sehr lieb.</t>
  </si>
  <si>
    <t>Das Kind war sehr böse.</t>
  </si>
  <si>
    <t>Der Kellner im Restaurant ist sehr lustig.</t>
  </si>
  <si>
    <t>Jetzt bin ich traurig.</t>
  </si>
  <si>
    <t>Heute morgen war ich früh wach.</t>
  </si>
  <si>
    <t>Das Kind hat wenig geschlafen und ist deshalb sehr müde.</t>
  </si>
  <si>
    <t>Na klar.</t>
  </si>
  <si>
    <t>Ist das wirklich wahr?</t>
  </si>
  <si>
    <t>Das hast du prima gemacht.</t>
  </si>
  <si>
    <t>Das ist wirklich ein tolles Restaurant.</t>
  </si>
  <si>
    <t>Der Gast aus Deutschland ist sehr nett.</t>
  </si>
  <si>
    <t>Es war sehr angenehm für mich.</t>
  </si>
  <si>
    <t>Der Verkäufer ist immer freundlich zu den Kunden.</t>
  </si>
  <si>
    <t>fahren</t>
  </si>
  <si>
    <t>einsteigen</t>
  </si>
  <si>
    <t>aussteigen</t>
  </si>
  <si>
    <t>reisen</t>
  </si>
  <si>
    <t>fliegen</t>
  </si>
  <si>
    <t>gehen</t>
  </si>
  <si>
    <t>laufen</t>
  </si>
  <si>
    <t>holen</t>
  </si>
  <si>
    <t>bringen</t>
  </si>
  <si>
    <t>bleiben</t>
  </si>
  <si>
    <t>treffen</t>
  </si>
  <si>
    <t>suchen</t>
  </si>
  <si>
    <t>finden</t>
  </si>
  <si>
    <t>zeigen</t>
  </si>
  <si>
    <t>verabschieden</t>
  </si>
  <si>
    <t>verbinden</t>
  </si>
  <si>
    <t>führen</t>
  </si>
  <si>
    <t>mitkommen</t>
  </si>
  <si>
    <t>umsteigen</t>
  </si>
  <si>
    <t>mitbringen</t>
  </si>
  <si>
    <t>planen</t>
  </si>
  <si>
    <t>hupen</t>
  </si>
  <si>
    <t>organisieren</t>
  </si>
  <si>
    <t>verreisen</t>
  </si>
  <si>
    <t>ankommen</t>
  </si>
  <si>
    <t>auspacken</t>
  </si>
  <si>
    <t>informieren</t>
  </si>
  <si>
    <t>packen</t>
  </si>
  <si>
    <t>parken</t>
  </si>
  <si>
    <t>abfahren</t>
  </si>
  <si>
    <t>hingehen</t>
  </si>
  <si>
    <t>schicken</t>
  </si>
  <si>
    <t>trennen</t>
  </si>
  <si>
    <t>wiederkommen</t>
  </si>
  <si>
    <t>zurückfahren</t>
  </si>
  <si>
    <t>buchen</t>
  </si>
  <si>
    <t>wiedersehen</t>
  </si>
  <si>
    <t>reservieren</t>
  </si>
  <si>
    <t>gelten</t>
  </si>
  <si>
    <t>mitfahren</t>
  </si>
  <si>
    <t>die Stadt</t>
  </si>
  <si>
    <t>das Dorf</t>
  </si>
  <si>
    <t>die Kirche</t>
  </si>
  <si>
    <t>das Hotel</t>
  </si>
  <si>
    <t>die Haltestelle</t>
  </si>
  <si>
    <t>der Bahnhof</t>
  </si>
  <si>
    <t>der Bahnsteig</t>
  </si>
  <si>
    <t>der Flughafen</t>
  </si>
  <si>
    <t>der Hafen</t>
  </si>
  <si>
    <t>der Strand</t>
  </si>
  <si>
    <t>die Stadtmitte</t>
  </si>
  <si>
    <t>der Stadtplan</t>
  </si>
  <si>
    <t>der Stadtteil</t>
  </si>
  <si>
    <t>das Stadtzentrum</t>
  </si>
  <si>
    <t>die Station</t>
  </si>
  <si>
    <t>die Stelle</t>
  </si>
  <si>
    <t>das Rathaus</t>
  </si>
  <si>
    <t>der Parkplatz</t>
  </si>
  <si>
    <t>das Zentrum</t>
  </si>
  <si>
    <t>die Hauptstadt</t>
  </si>
  <si>
    <t>die Großstadt</t>
  </si>
  <si>
    <t>die Küste</t>
  </si>
  <si>
    <t>das Einzelzimmer</t>
  </si>
  <si>
    <t>das Doppelzimmer</t>
  </si>
  <si>
    <t>der Platz</t>
  </si>
  <si>
    <t>der Abflug</t>
  </si>
  <si>
    <t>die Ankunft</t>
  </si>
  <si>
    <t>das Gepäck</t>
  </si>
  <si>
    <t>der Koffer</t>
  </si>
  <si>
    <t>die Tasche</t>
  </si>
  <si>
    <t>der Zoll</t>
  </si>
  <si>
    <t>Achtung</t>
  </si>
  <si>
    <t>Hilfe</t>
  </si>
  <si>
    <t>die Region</t>
  </si>
  <si>
    <t>die Übernachtung</t>
  </si>
  <si>
    <t>der Weg</t>
  </si>
  <si>
    <t>die Fußgängerzone</t>
  </si>
  <si>
    <t>die Reservierung</t>
  </si>
  <si>
    <t>der Ausflug</t>
  </si>
  <si>
    <t>die Auskunft</t>
  </si>
  <si>
    <t>der Hinweis</t>
  </si>
  <si>
    <t>die Linie</t>
  </si>
  <si>
    <t>die Nähe</t>
  </si>
  <si>
    <t>die Richtung</t>
  </si>
  <si>
    <t>die Kontrolle</t>
  </si>
  <si>
    <t>die Zone</t>
  </si>
  <si>
    <t>die Durchsage</t>
  </si>
  <si>
    <t>die Gebühr</t>
  </si>
  <si>
    <t>die Rezeption</t>
  </si>
  <si>
    <t>die Rückkehr</t>
  </si>
  <si>
    <t>der Rucksack</t>
  </si>
  <si>
    <t>der Sand</t>
  </si>
  <si>
    <t>das Reisebüro</t>
  </si>
  <si>
    <t>der Reiseführer</t>
  </si>
  <si>
    <t>der Tourist/ die Touristin</t>
  </si>
  <si>
    <t>der Urlaub</t>
  </si>
  <si>
    <t>die Beschwerde</t>
  </si>
  <si>
    <t>der Verkehr</t>
  </si>
  <si>
    <t>das Schild</t>
  </si>
  <si>
    <t>die Ampel</t>
  </si>
  <si>
    <t>die Kreuzung</t>
  </si>
  <si>
    <t>die Autobahn</t>
  </si>
  <si>
    <t>die Brücke</t>
  </si>
  <si>
    <t>der Tunnel</t>
  </si>
  <si>
    <t>die Tankstelle</t>
  </si>
  <si>
    <t>der Unfall</t>
  </si>
  <si>
    <t>der Führerschein</t>
  </si>
  <si>
    <t>die Fahrt</t>
  </si>
  <si>
    <t>das Auto</t>
  </si>
  <si>
    <t>der Radfahrer/ die Radfahrerin</t>
  </si>
  <si>
    <t>das Fahrrad</t>
  </si>
  <si>
    <t>der Lkw</t>
  </si>
  <si>
    <t>das Taxi</t>
  </si>
  <si>
    <t>der Bus</t>
  </si>
  <si>
    <t>die S-Bahn</t>
  </si>
  <si>
    <t>die U-Bahn</t>
  </si>
  <si>
    <t>die Straßenbahn</t>
  </si>
  <si>
    <t>der Zug</t>
  </si>
  <si>
    <t>das Flugzeug</t>
  </si>
  <si>
    <t>das Schiff</t>
  </si>
  <si>
    <t>das Verkehrsmittel</t>
  </si>
  <si>
    <t>links</t>
  </si>
  <si>
    <t>rechts</t>
  </si>
  <si>
    <t>geradeaus</t>
  </si>
  <si>
    <t>vor</t>
  </si>
  <si>
    <t>zurück</t>
  </si>
  <si>
    <t>hier</t>
  </si>
  <si>
    <t>durch</t>
  </si>
  <si>
    <t>los</t>
  </si>
  <si>
    <t>weg</t>
  </si>
  <si>
    <t>dahinten</t>
  </si>
  <si>
    <t>davorne</t>
  </si>
  <si>
    <t>nun</t>
  </si>
  <si>
    <t>wegen</t>
  </si>
  <si>
    <t>zwischen</t>
  </si>
  <si>
    <t>dort</t>
  </si>
  <si>
    <t>selbst</t>
  </si>
  <si>
    <t>weiter</t>
  </si>
  <si>
    <t>hin</t>
  </si>
  <si>
    <t>zurzeit</t>
  </si>
  <si>
    <t>der Fahrplan</t>
  </si>
  <si>
    <t>die Fahrkarte</t>
  </si>
  <si>
    <t>der Automat</t>
  </si>
  <si>
    <t>das Gleis</t>
  </si>
  <si>
    <t>die Abfahrt</t>
  </si>
  <si>
    <t>die Reise</t>
  </si>
  <si>
    <t>das Ticket</t>
  </si>
  <si>
    <t>die Strecke</t>
  </si>
  <si>
    <t>die Information</t>
  </si>
  <si>
    <t>die Ansage</t>
  </si>
  <si>
    <t>die Verbindung</t>
  </si>
  <si>
    <t>verboten</t>
  </si>
  <si>
    <t>erlaubt</t>
  </si>
  <si>
    <t>kaputt</t>
  </si>
  <si>
    <t>schnell</t>
  </si>
  <si>
    <t>langsam</t>
  </si>
  <si>
    <t>lang</t>
  </si>
  <si>
    <t>direkt</t>
  </si>
  <si>
    <t>zentral</t>
  </si>
  <si>
    <t>selbstständig</t>
  </si>
  <si>
    <t>sicher</t>
  </si>
  <si>
    <t>weit</t>
  </si>
  <si>
    <t>inklusive</t>
  </si>
  <si>
    <t>Das ist verboten.</t>
  </si>
  <si>
    <t>Es ist nich erlaubt hier zu parken.</t>
  </si>
  <si>
    <t>Ich bin die ganze Strecke mit dem Zug gefahren.</t>
  </si>
  <si>
    <t>Das Auto war schon vor dem Unfall kaputt.</t>
  </si>
  <si>
    <t>Mit dem Auto ist man schneller als mit dem Fahrrad.</t>
  </si>
  <si>
    <t>Mit dem Fahrrad dauert es zu lange.</t>
  </si>
  <si>
    <t>Wir haben eine lange Reise vor uns.</t>
  </si>
  <si>
    <t>Ich möchte bitte eine direkte Verbindung.</t>
  </si>
  <si>
    <t>Wir wohnen zentral in der Stadt.</t>
  </si>
  <si>
    <t>Ich komme selbstständig zurück.</t>
  </si>
  <si>
    <t>Manche Verkehrsmittel sind nicht sicher genug.</t>
  </si>
  <si>
    <t>Wie weit ist es zum Bahnhof?</t>
  </si>
  <si>
    <t>Ist in diesem Preis alles inklusive?</t>
  </si>
  <si>
    <t>Er hat den Fahrplan nicht dabei.</t>
  </si>
  <si>
    <t>Die Fahrkarten bitte.</t>
  </si>
  <si>
    <t>Du kannst die Fahrkarte am Automaten bezahlen.</t>
  </si>
  <si>
    <t>Wann ist unsere Ankunft?</t>
  </si>
  <si>
    <t>Auf welchem Gleis kommt der Zug an?</t>
  </si>
  <si>
    <t>Die Abfahrt ist um acht Uhr morgens.</t>
  </si>
  <si>
    <t>Ich wünsche Ihnen eine schöne Reise.</t>
  </si>
  <si>
    <t>Ein Ticket nach Lissabon kostet zweihundert Euro.</t>
  </si>
  <si>
    <t>Ich fahre nicht die ganze Strecke.</t>
  </si>
  <si>
    <t>Diese Information habe ich leider nicht.</t>
  </si>
  <si>
    <t>Die Ansage sagt der Zug kommt zehn Minuten später.</t>
  </si>
  <si>
    <t>Das ist keine gute Verbindung.</t>
  </si>
  <si>
    <t>Gehen sie dahinten links bitte.</t>
  </si>
  <si>
    <t>Sie müssen jetzt nach rechts fahren.</t>
  </si>
  <si>
    <t>Gehen sie immer geradeaus bis zur Kirche dann links.</t>
  </si>
  <si>
    <t>Das Taxi steht vor dem Bahnhof.</t>
  </si>
  <si>
    <t>Ich komme heute nicht mehr zurück.</t>
  </si>
  <si>
    <t>Hier ist es schön.</t>
  </si>
  <si>
    <t>Wir sind schon durch Berlin gefahren.</t>
  </si>
  <si>
    <t>In zwei Minuten geht es los.</t>
  </si>
  <si>
    <t>Du möchtest weg von hier.</t>
  </si>
  <si>
    <t>Dahinten ist nichts mehr.</t>
  </si>
  <si>
    <t>Davorne ist das gute Restaurant.</t>
  </si>
  <si>
    <t>Das Taxi kommt nun doch nicht.</t>
  </si>
  <si>
    <t>Wegen eines Unfalls können sie hier nicht weiter fahren.</t>
  </si>
  <si>
    <t>Wir sind jetzt zwischen Dresden und Leipzig.</t>
  </si>
  <si>
    <t>Ihr Bahnsteig ist dort.</t>
  </si>
  <si>
    <t>Ich möchte meine Reise selbst organisieren.</t>
  </si>
  <si>
    <t>Fahren sie heute noch weiter?</t>
  </si>
  <si>
    <t>Wann fahrt ihr wieder zurück?</t>
  </si>
  <si>
    <t>Wir fahren morgens hin und abends zurück.</t>
  </si>
  <si>
    <t>Zurzeit fahren keine Busse nach Dresden.</t>
  </si>
  <si>
    <t>Ich möchte bitte ein Einzelzimmer.</t>
  </si>
  <si>
    <t>Er braucht ein Doppelzimmer für sich und seine Frau.</t>
  </si>
  <si>
    <t>Wir haben genug Platz im Koffer.</t>
  </si>
  <si>
    <t>Der Abflug ist um zwölf Uhr mittags.</t>
  </si>
  <si>
    <t>Bei der Ankunft melden sie sich bitte an der Rezeption.</t>
  </si>
  <si>
    <t>Wer trägt das Gepäck?</t>
  </si>
  <si>
    <t>Sie hat viel Kleidung in ihrem Koffer.</t>
  </si>
  <si>
    <t>Der Ausweis ist in meiner Tasche.</t>
  </si>
  <si>
    <t>Für die Flasche Wein muss ich drei Euro beim Zoll bezahlen.</t>
  </si>
  <si>
    <t>Achtung auf der Autobahn ist ein Unfall.</t>
  </si>
  <si>
    <t>Ich brauche Hilfe mit dem Formular.</t>
  </si>
  <si>
    <t>In welcher Region möchten wir Urlaub machen?</t>
  </si>
  <si>
    <t>Wir haben zwei Übernachtungen gebucht.</t>
  </si>
  <si>
    <t>Den Weg zum Bahnhof findet man sehr leicht.</t>
  </si>
  <si>
    <t>In der Fußgängerzone dürfen keine Autos fahren.</t>
  </si>
  <si>
    <t>Haben sie eine Reservierung?</t>
  </si>
  <si>
    <t>Heute machen wir einen Ausflug in die Stadt.</t>
  </si>
  <si>
    <t>Ich gehe zur Auskunft und hole mir eine Verbindung.</t>
  </si>
  <si>
    <t>Können sie mir einen Hinweis geben?</t>
  </si>
  <si>
    <t>Sie müssen mit der Linie zwölf bis zur Haltestelle Goethestraße fahren.</t>
  </si>
  <si>
    <t>Ich bin in der Nähe vom Bahnhof.</t>
  </si>
  <si>
    <t>In welche Richtung muss ich laufen?</t>
  </si>
  <si>
    <t>Er hat keine Kontrolle mehr über das Auto.</t>
  </si>
  <si>
    <t>Darf ich mit meinem Busticket noch in dieser Zone fahren?</t>
  </si>
  <si>
    <t>Achtung jetzt kommt eine Durchsage.</t>
  </si>
  <si>
    <t>Du musst eine extra Gebühr für dein Gepäck bezahlen.</t>
  </si>
  <si>
    <t>Damit müssen sie zur Rezeption gehen.</t>
  </si>
  <si>
    <t>Bei meiner Rückkehr möchte ich etwas trinken.</t>
  </si>
  <si>
    <t>In meinem Rucksack ist kein Platz mehr.</t>
  </si>
  <si>
    <t>Da ist Sand in meinen Schuhen.</t>
  </si>
  <si>
    <t>Das Reisebüro hat mir die Flugtickets für zweihundert Euro verkauft.</t>
  </si>
  <si>
    <t>Der Reiseführer sagt wir müssen in diese Richtung.</t>
  </si>
  <si>
    <t>Der Tourist sucht die Information.</t>
  </si>
  <si>
    <t>Wir machen Urlaub.</t>
  </si>
  <si>
    <t>Ich habe eine Beschwerde.</t>
  </si>
  <si>
    <t>Mein Auto ist sehr teuer.</t>
  </si>
  <si>
    <t>Der Radfahrer hat große Schmerzen nach dem Unfall.</t>
  </si>
  <si>
    <t>Ihr Fahrrad ist kaputt.</t>
  </si>
  <si>
    <t>Der LKW kann hier nicht parken.</t>
  </si>
  <si>
    <t>Wann kommt das Taxi endlich?</t>
  </si>
  <si>
    <t>Den Bus nehme ich nicht.</t>
  </si>
  <si>
    <t>Möchtet ihr mit der S-Bahn zum Flughafen fahren?</t>
  </si>
  <si>
    <t>Ich fahre nicht gerne mit der U-Bahn.</t>
  </si>
  <si>
    <t>Haben sie eine Fahrkarte für die Straßenbahn?</t>
  </si>
  <si>
    <t>Der Zug fährt nur bis Dresden.</t>
  </si>
  <si>
    <t>Das Flugzeug fliegt heute nicht mehr.</t>
  </si>
  <si>
    <t>Mit dem Schiff ist es eine lange Reise.</t>
  </si>
  <si>
    <t>Welches Verkehrsmittel sollen wir nehmen?</t>
  </si>
  <si>
    <t>In dieser Stadt gibt es keine U-Bahn.</t>
  </si>
  <si>
    <t>In jedem Dorf steht eine Kirche.</t>
  </si>
  <si>
    <t>Sie geht jeden Tag in die Kirche.</t>
  </si>
  <si>
    <t>Dieses Hotel ist nicht sehr schön.</t>
  </si>
  <si>
    <t>An welcher Haltestelle muss ich aussteigen?</t>
  </si>
  <si>
    <t>Auf dem Bahnhof stehen viele Kinder.</t>
  </si>
  <si>
    <t>Auf welchem Bahnsteig fährt der Zug nach Dresden ab?</t>
  </si>
  <si>
    <t>Wir müssen heute zum Flughafen.</t>
  </si>
  <si>
    <t>Wo finde ich den Hafen?</t>
  </si>
  <si>
    <t>Am Strand ist viel Sand.</t>
  </si>
  <si>
    <t>In der Stadtmitte sind viele Hotels.</t>
  </si>
  <si>
    <t>Hast du einen Stadtplan dabei?</t>
  </si>
  <si>
    <t>In welchem Stadtteil wohnst du?</t>
  </si>
  <si>
    <t>Alle Busse fahren in das Stadtzentrum.</t>
  </si>
  <si>
    <t>Wir müssen fünf Stationen fahren.</t>
  </si>
  <si>
    <t>An dieser Stelle hat vor fünf Jahren das Hotel gestanden.</t>
  </si>
  <si>
    <t>Mit diesem Formular müssen sie jetzt ins Rathaus gehen.</t>
  </si>
  <si>
    <t>Endlich ein Parkplatz für unser Auto.</t>
  </si>
  <si>
    <t>Wir wollen nicht ins Zentrum dort ist zu viel Verkehr.</t>
  </si>
  <si>
    <t>Berlin ist die Hauptstadt von Deutschland.</t>
  </si>
  <si>
    <t>Bautzen ist keine Großstadt.</t>
  </si>
  <si>
    <t>An der Küste gibt es viele Hotels.</t>
  </si>
  <si>
    <t>Fährst du mit dem Auto?</t>
  </si>
  <si>
    <t>Das Kind steigt in das Auto ein.</t>
  </si>
  <si>
    <t>Sie müssen hier aussteigen.</t>
  </si>
  <si>
    <t>Ich reise schon zwei Monate.</t>
  </si>
  <si>
    <t>Das Flugzeug fliegt nach New York,</t>
  </si>
  <si>
    <t>Er geht zum Supermarkt.</t>
  </si>
  <si>
    <t>Die Frauen laufen zum Bahnhof.</t>
  </si>
  <si>
    <t>Ich hole ein Brot vom Bäcker.</t>
  </si>
  <si>
    <t>Bringst du dein Fahrrad mit?</t>
  </si>
  <si>
    <t>Wir bleiben noch eine Woche.</t>
  </si>
  <si>
    <t>Der Mann trifft seine Frau am Bahnhof.</t>
  </si>
  <si>
    <t>Entschuldigung ich suche den Bahnhof.</t>
  </si>
  <si>
    <t>Wo finde ich das Hotel?</t>
  </si>
  <si>
    <t>Können sie mir bitte ihren Ausweis zeigen.</t>
  </si>
  <si>
    <t>Die Frau verabschiedet sich von ihrem Kind.</t>
  </si>
  <si>
    <t>Können sie mich mit einem Taxi verbinden?</t>
  </si>
  <si>
    <t>Die Strecke führt an der Kirche vorbei.</t>
  </si>
  <si>
    <t>Kommst du mit?</t>
  </si>
  <si>
    <t>Sie müssen in Dresden umsteigen.</t>
  </si>
  <si>
    <t>Bringen sie bitte ihre Fahrkarte mit.</t>
  </si>
  <si>
    <t>Ich plane eine Reise nach Berlin.</t>
  </si>
  <si>
    <t>Die Autos hupen an der Ampel.</t>
  </si>
  <si>
    <t>Du musst deine Reise organisieren.</t>
  </si>
  <si>
    <t>Der Mann verreist für zwei Wochen.</t>
  </si>
  <si>
    <t>Wann kommen wir in Hannover an?</t>
  </si>
  <si>
    <t>Ich möchte jetzt meinen Koffer auspacken.</t>
  </si>
  <si>
    <t>Hast du dich über die Verbindung informiert?</t>
  </si>
  <si>
    <t>Wir packen unsere Koffer.</t>
  </si>
  <si>
    <t>Das Auto parkt vor dem Hotel.</t>
  </si>
  <si>
    <t>Wir wollen heute abfahren.</t>
  </si>
  <si>
    <t>Da gehe ich nicht hin.</t>
  </si>
  <si>
    <t>Die Frau schickt ihr Kind zum Supermarkt.</t>
  </si>
  <si>
    <t>Der Mann und die Frau trennen sich am Bahnhof.</t>
  </si>
  <si>
    <t>Er kommt nie wieder.</t>
  </si>
  <si>
    <t>Wir fahren heute zurück.</t>
  </si>
  <si>
    <t>Ich buche morgen meinen Urlaub im Reisebüro.</t>
  </si>
  <si>
    <t>Sie möchte ihren Mann wiedersehen.</t>
  </si>
  <si>
    <t>Reservieren sie bitte ein Einzelzimmer.</t>
  </si>
  <si>
    <t>Das Ticket gilt heute nicht.</t>
  </si>
  <si>
    <t>Wir möchten bei dir mitfahren.</t>
  </si>
  <si>
    <t>Heute ist viel Verkehr.</t>
  </si>
  <si>
    <t>Das Schild sagt hier darf man nicht parken.</t>
  </si>
  <si>
    <t>Die Ampel steht auf rot.</t>
  </si>
  <si>
    <t>Die Ampel ist grün und ich fahre über die Kreuzung.</t>
  </si>
  <si>
    <t>Der Radfahrer fährt auf der Straße.</t>
  </si>
  <si>
    <t>Auf der Autobahn fährt man schneller.</t>
  </si>
  <si>
    <t>Sie müssen über die Brücke gehen.</t>
  </si>
  <si>
    <t>Wir fahren jetzt durch einen Tunnel.</t>
  </si>
  <si>
    <t>Wir warten an der Tankstelle.</t>
  </si>
  <si>
    <t>Auf der Autobahn war ein Unfall.</t>
  </si>
  <si>
    <t>Ich habe leider keinen Führerschein.</t>
  </si>
  <si>
    <t>Ich hatte eine lange Fahrt.</t>
  </si>
  <si>
    <t>die Toilette</t>
  </si>
  <si>
    <t>das Toilettenpapier</t>
  </si>
  <si>
    <t>die Möbel</t>
  </si>
  <si>
    <t>das Bett</t>
  </si>
  <si>
    <t>der Schrank</t>
  </si>
  <si>
    <t>das Regal</t>
  </si>
  <si>
    <t>der Tisch</t>
  </si>
  <si>
    <t>der Stuhl</t>
  </si>
  <si>
    <t>der Sessel</t>
  </si>
  <si>
    <t>das Sofa</t>
  </si>
  <si>
    <t>die Lampe</t>
  </si>
  <si>
    <t>der Teppich</t>
  </si>
  <si>
    <t>das Bild</t>
  </si>
  <si>
    <t>der Schlüssel</t>
  </si>
  <si>
    <t>die Spülmaschine</t>
  </si>
  <si>
    <t>der Kühlschrank</t>
  </si>
  <si>
    <t>das Foto</t>
  </si>
  <si>
    <t>der Kasten</t>
  </si>
  <si>
    <t>die Kerze</t>
  </si>
  <si>
    <t>die Wäsche</t>
  </si>
  <si>
    <t>ausziehen</t>
  </si>
  <si>
    <t>einziehen</t>
  </si>
  <si>
    <t>messen</t>
  </si>
  <si>
    <t>anmachen</t>
  </si>
  <si>
    <t>ausmachen</t>
  </si>
  <si>
    <t>aufmachen</t>
  </si>
  <si>
    <t>zumachen</t>
  </si>
  <si>
    <t>drücken</t>
  </si>
  <si>
    <t>halten</t>
  </si>
  <si>
    <t>hängen</t>
  </si>
  <si>
    <t>klopfen</t>
  </si>
  <si>
    <t>legen</t>
  </si>
  <si>
    <t>liegen</t>
  </si>
  <si>
    <t>putzen</t>
  </si>
  <si>
    <t>reparieren</t>
  </si>
  <si>
    <t>stellen</t>
  </si>
  <si>
    <t>schieben</t>
  </si>
  <si>
    <t>ziehen</t>
  </si>
  <si>
    <t>verlieren</t>
  </si>
  <si>
    <t>fehlen</t>
  </si>
  <si>
    <t>funktionieren</t>
  </si>
  <si>
    <t>fallen</t>
  </si>
  <si>
    <t>ordnen</t>
  </si>
  <si>
    <t>steigen</t>
  </si>
  <si>
    <t>abwaschen</t>
  </si>
  <si>
    <t>klingeln</t>
  </si>
  <si>
    <t>vermieten</t>
  </si>
  <si>
    <t>wegbringen</t>
  </si>
  <si>
    <t>verschieben</t>
  </si>
  <si>
    <t>abschließen</t>
  </si>
  <si>
    <t>benutzen</t>
  </si>
  <si>
    <t>reinigen</t>
  </si>
  <si>
    <t>mieten</t>
  </si>
  <si>
    <t>wechseln</t>
  </si>
  <si>
    <t>sparen</t>
  </si>
  <si>
    <t>trocknen</t>
  </si>
  <si>
    <t>waschen</t>
  </si>
  <si>
    <t>renovieren</t>
  </si>
  <si>
    <t>die Breite</t>
  </si>
  <si>
    <t>die Höhe</t>
  </si>
  <si>
    <t>die Tiefe</t>
  </si>
  <si>
    <t>die Länge</t>
  </si>
  <si>
    <t>der Zentimeter</t>
  </si>
  <si>
    <t>der Meter</t>
  </si>
  <si>
    <t>der Qudratmeter</t>
  </si>
  <si>
    <t>der Kilometer</t>
  </si>
  <si>
    <t>das Gewicht</t>
  </si>
  <si>
    <t>das Maß</t>
  </si>
  <si>
    <t>die Platte</t>
  </si>
  <si>
    <t>die Ordnung</t>
  </si>
  <si>
    <t>die Unordnung</t>
  </si>
  <si>
    <t>der Strom</t>
  </si>
  <si>
    <t>der Nachbar/ die Nachbarin</t>
  </si>
  <si>
    <t>der Gegenstand</t>
  </si>
  <si>
    <t>der Vermieter/ die Vermieterin</t>
  </si>
  <si>
    <t>das Girokonto</t>
  </si>
  <si>
    <t>das Konto</t>
  </si>
  <si>
    <t>die Mauer</t>
  </si>
  <si>
    <t>der Lärm</t>
  </si>
  <si>
    <t>die Ruhe</t>
  </si>
  <si>
    <t>das Lager</t>
  </si>
  <si>
    <t>der Makler/ die Maklerin</t>
  </si>
  <si>
    <t>das Wasser</t>
  </si>
  <si>
    <t>die Sparkasse</t>
  </si>
  <si>
    <t>die Garage</t>
  </si>
  <si>
    <t>das Haus</t>
  </si>
  <si>
    <t>das Dach</t>
  </si>
  <si>
    <t>der Dachboden</t>
  </si>
  <si>
    <t>das Fenster</t>
  </si>
  <si>
    <t>der Balkon</t>
  </si>
  <si>
    <t>die Tür</t>
  </si>
  <si>
    <t>der Garten</t>
  </si>
  <si>
    <t>das Erdgeschoss</t>
  </si>
  <si>
    <t>der Keller</t>
  </si>
  <si>
    <t>die Wohnung</t>
  </si>
  <si>
    <t>der Umzug</t>
  </si>
  <si>
    <t>der Eingang</t>
  </si>
  <si>
    <t>der Ausgang</t>
  </si>
  <si>
    <t>das Zimmer</t>
  </si>
  <si>
    <t>das Schlafzimmer</t>
  </si>
  <si>
    <t>das Wohnzimmer</t>
  </si>
  <si>
    <t>das Bad</t>
  </si>
  <si>
    <t>die Dusche</t>
  </si>
  <si>
    <t>der Haushalt</t>
  </si>
  <si>
    <t>der Flur</t>
  </si>
  <si>
    <t>der Gang</t>
  </si>
  <si>
    <t>die Heizung</t>
  </si>
  <si>
    <t>der Hof</t>
  </si>
  <si>
    <t>der Herd</t>
  </si>
  <si>
    <t>der Backofen</t>
  </si>
  <si>
    <t>die Küche</t>
  </si>
  <si>
    <t>der Aufzug</t>
  </si>
  <si>
    <t>das Schloss</t>
  </si>
  <si>
    <t>die Treppe</t>
  </si>
  <si>
    <t>die Tonne</t>
  </si>
  <si>
    <t>die Ecke</t>
  </si>
  <si>
    <t>der Tagesablauf</t>
  </si>
  <si>
    <t>die Technik</t>
  </si>
  <si>
    <t>die Miete</t>
  </si>
  <si>
    <t>der Müll</t>
  </si>
  <si>
    <t>die Nebenkosten</t>
  </si>
  <si>
    <t>an</t>
  </si>
  <si>
    <t>neben</t>
  </si>
  <si>
    <t>über</t>
  </si>
  <si>
    <t>unter</t>
  </si>
  <si>
    <t>in</t>
  </si>
  <si>
    <t>gegen</t>
  </si>
  <si>
    <t>um</t>
  </si>
  <si>
    <t>nach</t>
  </si>
  <si>
    <t>mit</t>
  </si>
  <si>
    <t>für</t>
  </si>
  <si>
    <t>von</t>
  </si>
  <si>
    <t>oben</t>
  </si>
  <si>
    <t>unten</t>
  </si>
  <si>
    <t>vorn</t>
  </si>
  <si>
    <t>hinten</t>
  </si>
  <si>
    <t>draußen</t>
  </si>
  <si>
    <t>drinnen</t>
  </si>
  <si>
    <t>darüber</t>
  </si>
  <si>
    <t>dazu</t>
  </si>
  <si>
    <t>vorne</t>
  </si>
  <si>
    <t>so</t>
  </si>
  <si>
    <t>breit</t>
  </si>
  <si>
    <t>schmal</t>
  </si>
  <si>
    <t>leicht</t>
  </si>
  <si>
    <t>schwer</t>
  </si>
  <si>
    <t>hell</t>
  </si>
  <si>
    <t>dunkel</t>
  </si>
  <si>
    <t>leise</t>
  </si>
  <si>
    <t>laut</t>
  </si>
  <si>
    <t>hoch</t>
  </si>
  <si>
    <t>niedrig</t>
  </si>
  <si>
    <t>gerade</t>
  </si>
  <si>
    <t>krumm</t>
  </si>
  <si>
    <t>gebraucht</t>
  </si>
  <si>
    <t>kühl</t>
  </si>
  <si>
    <t>praktisch</t>
  </si>
  <si>
    <t>die Sache</t>
  </si>
  <si>
    <t>fertig</t>
  </si>
  <si>
    <t>rund</t>
  </si>
  <si>
    <t>bequem</t>
  </si>
  <si>
    <t>hart</t>
  </si>
  <si>
    <t>trocken</t>
  </si>
  <si>
    <t>ruhig</t>
  </si>
  <si>
    <t>sauber</t>
  </si>
  <si>
    <t>Ich kann die Toilette nicht finden.</t>
  </si>
  <si>
    <t>Wir haben kein Toilettenpapier mehr.</t>
  </si>
  <si>
    <t>Wir müssen alle Möbel in die andere Ecke schieben.</t>
  </si>
  <si>
    <t>Ihr Bett ist sehr bequem.</t>
  </si>
  <si>
    <t>Den Schrank solltest du nicht öffnen.</t>
  </si>
  <si>
    <t>Stell die Tasse einfach in das Regal.</t>
  </si>
  <si>
    <t>Kannst du bitte am Tisch essen.</t>
  </si>
  <si>
    <t>Sitz bitte ruhig auf deinem Stuhl.</t>
  </si>
  <si>
    <t>Der Mann und die Frau sitzen auf der Bank.</t>
  </si>
  <si>
    <t>Wer möchte jetzt im Sessel sitzen?</t>
  </si>
  <si>
    <t>Auf dem Sofa kann man schlafen.</t>
  </si>
  <si>
    <t>Macht ihr bitte die Lampe an?</t>
  </si>
  <si>
    <t>Der Teppich war gestern noch sauber.</t>
  </si>
  <si>
    <t>Auf dem Bild ist eine Frau in ihrem Garten.</t>
  </si>
  <si>
    <t>Der Schlüssel passt nicht in das Schloss.</t>
  </si>
  <si>
    <t>Warum hast du die Spülmaschine nicht angemacht?</t>
  </si>
  <si>
    <t>Stell die Milch bitte in den Kühlschrank.</t>
  </si>
  <si>
    <t>Auf dem Foto sind viele Kinder.</t>
  </si>
  <si>
    <t>Was ist in dem Kasten?</t>
  </si>
  <si>
    <t>Kannst du bitte eine Kerze anmachen es ist zu dunkel.</t>
  </si>
  <si>
    <t>Wann ist die Wäsche fertig?</t>
  </si>
  <si>
    <t>Der Schrank ist zu breit für den Flur.</t>
  </si>
  <si>
    <t>Wir müssen das Bett durch den schmalen Gang tragen.</t>
  </si>
  <si>
    <t>Die Lampe ist leicht zu tragen.</t>
  </si>
  <si>
    <t>Die Tür geht schwer aufzumachen.</t>
  </si>
  <si>
    <t>Unser Wohnzimmer ist schön hell.</t>
  </si>
  <si>
    <t>Am Abend ist es dunkel im Hof.</t>
  </si>
  <si>
    <t>Wir müssen leise sein.</t>
  </si>
  <si>
    <t>Das Kind war gestern Abend sehr laut.</t>
  </si>
  <si>
    <t>Der Schrank ist zu hoch für mich kannst du mir bitte helfen?</t>
  </si>
  <si>
    <t>Ich möchte einen niedrigen Tisch.</t>
  </si>
  <si>
    <t>Das Foto soll gerade an der Mauer hängen.</t>
  </si>
  <si>
    <t>Warum ist die Banane krumm?</t>
  </si>
  <si>
    <t>Wir müssen unsere Möbel gebraucht kaufen.</t>
  </si>
  <si>
    <t>Im Kühlschrank ist es kühl.</t>
  </si>
  <si>
    <t>Ein Aufzug ist sehr praktisch.</t>
  </si>
  <si>
    <t>Geh bitte nicht an meine Sachen.</t>
  </si>
  <si>
    <t>Wir sind endlich fertig mit renovieren.</t>
  </si>
  <si>
    <t>Ihr habt einen runden Tisch gekauft.</t>
  </si>
  <si>
    <t>Der Sessel ist wirklich bequem.</t>
  </si>
  <si>
    <t>Das Sofa ist mir zu hart zum schlafen.</t>
  </si>
  <si>
    <t>Ist die Wäsche schon trocken?</t>
  </si>
  <si>
    <t>Auf dem Balkon ist es schön ruhig.</t>
  </si>
  <si>
    <t>Die Küche ist nicht sauber.</t>
  </si>
  <si>
    <t>Wir treffen uns am Ausgang.</t>
  </si>
  <si>
    <t>Stell das Glas bitte auf den Tisch.</t>
  </si>
  <si>
    <t>Wir hängen das Bild neben den Schrank.</t>
  </si>
  <si>
    <t>Ich laufe über den Teppich.</t>
  </si>
  <si>
    <t>Unter dem Teppich ist leider kein Geld.</t>
  </si>
  <si>
    <t>In der Spülmaschine ist viel Geschirr.</t>
  </si>
  <si>
    <t>Ich hole eine Jacke aus dem Schrank.</t>
  </si>
  <si>
    <t>Du musst durch den Gang gehen.</t>
  </si>
  <si>
    <t>Das Kind ist gegen die Mauer gelaufen.</t>
  </si>
  <si>
    <t>Sie wählt zwischen den beiden Bildern aus.</t>
  </si>
  <si>
    <t>Läufst du um das Haus?</t>
  </si>
  <si>
    <t>Ich warte vor dem Eingang.</t>
  </si>
  <si>
    <t>Die Frau geht nach dem Mann.</t>
  </si>
  <si>
    <t>Der Mann kommt mit seinem Kind.</t>
  </si>
  <si>
    <t>Die Frau kommt ohne ihren Mann.</t>
  </si>
  <si>
    <t>Das Geld ist nicht für dich.</t>
  </si>
  <si>
    <t>Das Geld ist von meiner Frau.</t>
  </si>
  <si>
    <t>Wir wohnen ganz oben.</t>
  </si>
  <si>
    <t>Geh bitte nach unten.</t>
  </si>
  <si>
    <t>Von vorn sieht das Haus schön aus.</t>
  </si>
  <si>
    <t>Da hinten ist nichts mehr.</t>
  </si>
  <si>
    <t>Wir gehen jetzt nach draußen.</t>
  </si>
  <si>
    <t>Warum bist du noch drinnen?</t>
  </si>
  <si>
    <t>Kannst du den Schrank bitte darüber stellen?</t>
  </si>
  <si>
    <t>Gib noch ein bisschen Salz dazu.</t>
  </si>
  <si>
    <t>Da vorne gibt es noch ein Hotel.</t>
  </si>
  <si>
    <t>So viel Geld für so wenig Essen.</t>
  </si>
  <si>
    <t>Der Mann stellt sein Auto in die Garage.</t>
  </si>
  <si>
    <t>Wir wohnen zur miete in unserem Haus.</t>
  </si>
  <si>
    <t>Das Dach ist kaputt und muss repariert werden.</t>
  </si>
  <si>
    <t>Stell das Bild bitte auf den Dachboden.</t>
  </si>
  <si>
    <t>Kannst du bitte das Fenster öffnen.</t>
  </si>
  <si>
    <t>Die Frau Steht auf dem Balkon.</t>
  </si>
  <si>
    <t>Hinter dieser Tür ist die Toilette.</t>
  </si>
  <si>
    <t>Das Haus hat einen schönen Garten.</t>
  </si>
  <si>
    <t>Ich wohne im Erdgeschoss und muss keine Treppe laufen.</t>
  </si>
  <si>
    <t>Kannst du heute bitte den Keller reinigen.</t>
  </si>
  <si>
    <t>Wir ziehen in eine neue Wohnung.</t>
  </si>
  <si>
    <t>Den Umzug machen wir ohne Hilfe.</t>
  </si>
  <si>
    <t>Dort vorne ist der Eingang.</t>
  </si>
  <si>
    <t>Entschuldigung ich kann den Ausgang nicht finden.</t>
  </si>
  <si>
    <t>In seinem Zimmer steht nur ein Bett und ein Schrank.</t>
  </si>
  <si>
    <t>Das Bett steht im Schlafzimmer.</t>
  </si>
  <si>
    <t>Stellen sie das Sofa bitte in das Wohnzimmer.</t>
  </si>
  <si>
    <t>Im Bad putze ich meine Zähne.</t>
  </si>
  <si>
    <t>Gehst du jetzt unter die Dusche?</t>
  </si>
  <si>
    <t>Die Frau führt den Haushalt.</t>
  </si>
  <si>
    <t>Durch diese Tür kommen sie in den Flur.</t>
  </si>
  <si>
    <t>Ich wohne ganz hinten im Gang.</t>
  </si>
  <si>
    <t>Können sie bitte die Heizung anmachen?</t>
  </si>
  <si>
    <t>Das Haus hat einen schönen Hof.</t>
  </si>
  <si>
    <t>Den Herd habe ich gebraucht gekauft.</t>
  </si>
  <si>
    <t>Der Backofen ist nicht kaputt.</t>
  </si>
  <si>
    <t>Ich gehe in die Küche und mache etwas zu essen.</t>
  </si>
  <si>
    <t>Ich wohne im Erdgeschoss und brauche keinen Aufzug.</t>
  </si>
  <si>
    <t>Können sie bitte das Schloss zumachen.</t>
  </si>
  <si>
    <t>Ich muss den ganzen Tag Treppen laufen.</t>
  </si>
  <si>
    <t>Können sie die Tonne dorthin stellen bitte.</t>
  </si>
  <si>
    <t>Ich gehe um die Ecke.</t>
  </si>
  <si>
    <t>Ich habe jeden Tag den gleichen Tagesablauf.</t>
  </si>
  <si>
    <t>Die Technik im Haus funktioniert noch nicht.</t>
  </si>
  <si>
    <t>Meine Miete ist viel zu hoch.</t>
  </si>
  <si>
    <t>Wer bringt den Müll weg?</t>
  </si>
  <si>
    <t>Ich kann die Nebenkosten nicht mehr bezahlen.</t>
  </si>
  <si>
    <t>Passt der Schrank in der Breite?</t>
  </si>
  <si>
    <t>Wir müssen noch die Höhe messen.</t>
  </si>
  <si>
    <t>Kannst du bitte die Tiefe des Schranks messen?</t>
  </si>
  <si>
    <t>In der Länge passt der Kühlschrank nicht in das Auto.</t>
  </si>
  <si>
    <t>Bitte auf den Zentimeter genau messen.</t>
  </si>
  <si>
    <t>Der Schrank ist zwei Meter hoch.</t>
  </si>
  <si>
    <t>Wie viele Quadratmeter hat die Wohnung?</t>
  </si>
  <si>
    <t>Wieviele Kilometer sind es bis Dresden?</t>
  </si>
  <si>
    <t>Das Gewicht ist zu hoch für den Aufzug.</t>
  </si>
  <si>
    <t>Ich nehme ein Pfund Tomaten.</t>
  </si>
  <si>
    <t>Können sie mir bitte zwei Kilogramm Äpfel in meine Tüte geben?</t>
  </si>
  <si>
    <t>Wasser kocht bei einhundert Grad Celsius.</t>
  </si>
  <si>
    <t>Das müssen wir in Mililiter messen.</t>
  </si>
  <si>
    <t>Er hat einen Liter Bier getrunken.</t>
  </si>
  <si>
    <t>Ein halber Liter Wein ist zu viel für mich.</t>
  </si>
  <si>
    <t>Wir brauchen noch die Maße der Wohnung.</t>
  </si>
  <si>
    <t>Die Flasche kannst du auf die Platte stellen.</t>
  </si>
  <si>
    <t>Wir müssen hier mal Ordnung machen.</t>
  </si>
  <si>
    <t>Deine Unordnung ist wirklich schlimm.</t>
  </si>
  <si>
    <t>Wieviel bezahlen sie für ihren Strom?</t>
  </si>
  <si>
    <t>Unser Nachbar ist wirklich sehr freundlich.</t>
  </si>
  <si>
    <t>Was ist das für ein Gegenstand?</t>
  </si>
  <si>
    <t>Der Vermieter ist möchte mehr Geld haben.</t>
  </si>
  <si>
    <t>Auf meinem Girokonto ist kein Geld mehr.</t>
  </si>
  <si>
    <t>Unser Konto ist im Minus.</t>
  </si>
  <si>
    <t>Das Kind steht auf der Mauer.</t>
  </si>
  <si>
    <t>Der Lärm von den Autos ist schlecht für die Gesundheit.</t>
  </si>
  <si>
    <t>Ich brauche endlich ein bisschen Ruhe.</t>
  </si>
  <si>
    <t>Bring die Sachen bitte in das Lager.</t>
  </si>
  <si>
    <t>Der Makler hat eine Wohnung für uns gefunden.</t>
  </si>
  <si>
    <t>Das Kind soll viel Wasser trinken.</t>
  </si>
  <si>
    <t>Ich gehe gerne zur Sparkasse.</t>
  </si>
  <si>
    <t>Wir möchten nächste Woche aus unserer Wohnung ausziehen.</t>
  </si>
  <si>
    <t>Wann werden sie einziehen?</t>
  </si>
  <si>
    <t>Wir messen die Breite des Schrankes.</t>
  </si>
  <si>
    <t>Nachts machen wir das Licht an.</t>
  </si>
  <si>
    <t>Wenn es hell ist machen wir das Licht wieder aus.</t>
  </si>
  <si>
    <t>Können sie mir bitte die Tür aufmachen.</t>
  </si>
  <si>
    <t>Das Kind hat die Tür nicht zugemacht.</t>
  </si>
  <si>
    <t>Der Mann drückt gegen die Mauer aber nichts passiert.</t>
  </si>
  <si>
    <t>Die Frau hält ihr Kind im Arm.</t>
  </si>
  <si>
    <t>Wo hängt das Bild?</t>
  </si>
  <si>
    <t>Klopfen sie mal gegen die Tür.</t>
  </si>
  <si>
    <t>Leg das Messer hier hin.</t>
  </si>
  <si>
    <t>Auf dem Tisch liegen einhundert Euro.</t>
  </si>
  <si>
    <t>Das Kind kann sich ohne Hilfe die Zähne putzen.</t>
  </si>
  <si>
    <t>Wir müssen das Auto reparieren.</t>
  </si>
  <si>
    <t>Den Tisch kannst du da vorne hinstellen.</t>
  </si>
  <si>
    <t>Hilfst du mir den Tisch in die Ecke zu schieben?</t>
  </si>
  <si>
    <t>Wir ziehen den Teppich ein bisschen nach links.</t>
  </si>
  <si>
    <t>Der Kellner hat seinen Geldbeutel verloren.</t>
  </si>
  <si>
    <t>Es fehlen noch zwei Stühle.</t>
  </si>
  <si>
    <t>Das Auto funktioniert nicht mehr.</t>
  </si>
  <si>
    <t>Dir sind zwei Euro aus der Tasche gefallen.</t>
  </si>
  <si>
    <t>Wir müssen die Wäsche nach schwarzer und weißer Kleidung ordnen.</t>
  </si>
  <si>
    <t>Treppen steigen mag ich nicht.</t>
  </si>
  <si>
    <t>Muss ich schon wieder abwaschen?</t>
  </si>
  <si>
    <t>Klingeln sie einfach an der Tür damit er ihnen aufmacht.</t>
  </si>
  <si>
    <t>Wir vermieten diese Wohnung nicht.</t>
  </si>
  <si>
    <t>Er bringt jeden Morgen den Müll weg.</t>
  </si>
  <si>
    <t>ich möchte das Sofa gerne verschieben.</t>
  </si>
  <si>
    <t>Kann man die Toilette abschließen?</t>
  </si>
  <si>
    <t>Der Stuhl ist kaputt bitte benutzen sie einen anderen.</t>
  </si>
  <si>
    <t>Jetzt müssen wir den Teppich reinigen.</t>
  </si>
  <si>
    <t>Wir mieten diese Wohnung.</t>
  </si>
  <si>
    <t>Kann dein Mann bitte das Toilettenpapier wechseln</t>
  </si>
  <si>
    <t>Duschen ist besser als baden weil man Wasser spart.</t>
  </si>
  <si>
    <t>Die Wäsche braucht Stunden um zu trocknen.</t>
  </si>
  <si>
    <t>Wer wohnt denn hier?</t>
  </si>
  <si>
    <t>Kannst du bitte meine Wäsche mit waschen?</t>
  </si>
  <si>
    <t>Wie lange werden wir zum renovieren brauchen?</t>
  </si>
  <si>
    <t>loslassen</t>
  </si>
  <si>
    <t>kennen</t>
  </si>
  <si>
    <t>erkennen</t>
  </si>
  <si>
    <t>erzählen</t>
  </si>
  <si>
    <t>reden</t>
  </si>
  <si>
    <t>küssen</t>
  </si>
  <si>
    <t>aussehen</t>
  </si>
  <si>
    <t>erziehen</t>
  </si>
  <si>
    <t>geboren sein</t>
  </si>
  <si>
    <t>leben</t>
  </si>
  <si>
    <t>erlauben</t>
  </si>
  <si>
    <t>klappen</t>
  </si>
  <si>
    <t>rufen</t>
  </si>
  <si>
    <t>betreuen</t>
  </si>
  <si>
    <t>die Familie</t>
  </si>
  <si>
    <t>die Großeltern</t>
  </si>
  <si>
    <t>der Großvater</t>
  </si>
  <si>
    <t>die Großmutter</t>
  </si>
  <si>
    <t>die Eltern</t>
  </si>
  <si>
    <t>der Vater</t>
  </si>
  <si>
    <t>die Mutter</t>
  </si>
  <si>
    <t>der Sohn</t>
  </si>
  <si>
    <t>die Tochter</t>
  </si>
  <si>
    <t>der Papa</t>
  </si>
  <si>
    <t>die Mama</t>
  </si>
  <si>
    <t>die Geschwister</t>
  </si>
  <si>
    <t>der Bruder</t>
  </si>
  <si>
    <t>die Schwester</t>
  </si>
  <si>
    <t>die Tante</t>
  </si>
  <si>
    <t>der Onkel</t>
  </si>
  <si>
    <t>der Cousin</t>
  </si>
  <si>
    <t>die Cousine</t>
  </si>
  <si>
    <t>das Ehepaar</t>
  </si>
  <si>
    <t>der Freund</t>
  </si>
  <si>
    <t>die Freundin</t>
  </si>
  <si>
    <t>der Partner</t>
  </si>
  <si>
    <t>die Partnerin</t>
  </si>
  <si>
    <t>die Leute</t>
  </si>
  <si>
    <t>der Herr</t>
  </si>
  <si>
    <t>das Baby</t>
  </si>
  <si>
    <t>der Erwachsene/ die Erwachsene</t>
  </si>
  <si>
    <t>der Jugendliche/ die Jugendliche</t>
  </si>
  <si>
    <t>das Gespräch</t>
  </si>
  <si>
    <t>der Kinderwagen</t>
  </si>
  <si>
    <t>der Kuss</t>
  </si>
  <si>
    <t>die Hochzeit</t>
  </si>
  <si>
    <t>das Leben</t>
  </si>
  <si>
    <t>der Mensch</t>
  </si>
  <si>
    <t>die Geschichte</t>
  </si>
  <si>
    <t>die Gruppe</t>
  </si>
  <si>
    <t>der Babysitter/ die Babysitterin</t>
  </si>
  <si>
    <t>der Kontakt</t>
  </si>
  <si>
    <t>der Bekannte/ die Bekannte</t>
  </si>
  <si>
    <t>die Verwandten</t>
  </si>
  <si>
    <t>der Treffpunkt</t>
  </si>
  <si>
    <t>jemand</t>
  </si>
  <si>
    <t>andere</t>
  </si>
  <si>
    <t>sogar</t>
  </si>
  <si>
    <t>jung</t>
  </si>
  <si>
    <t>hässlich</t>
  </si>
  <si>
    <t>reich</t>
  </si>
  <si>
    <t>arm</t>
  </si>
  <si>
    <t>stark</t>
  </si>
  <si>
    <t>schwach</t>
  </si>
  <si>
    <t>allein</t>
  </si>
  <si>
    <t>zusammen</t>
  </si>
  <si>
    <t>verliebt</t>
  </si>
  <si>
    <t>bekannt</t>
  </si>
  <si>
    <t>berühmt</t>
  </si>
  <si>
    <t>fremd</t>
  </si>
  <si>
    <t>schwanger</t>
  </si>
  <si>
    <t>Für mich ist meine Familie sehr wichtig.</t>
  </si>
  <si>
    <t>Meine Großeltern sind sehr alt.</t>
  </si>
  <si>
    <t>Mein Großvater kann nicht mehr laufen.</t>
  </si>
  <si>
    <t>Deine Großmutter sieht noch sehr jung aus.</t>
  </si>
  <si>
    <t>Die Eltern meiner Freundin mögen mich nicht.</t>
  </si>
  <si>
    <t>Ich möchte nicht mit deinem Vater reden.</t>
  </si>
  <si>
    <t>Meine Mutter ist wieder schwanger.</t>
  </si>
  <si>
    <t>Ihr Sohn isst sehr viel.</t>
  </si>
  <si>
    <t>Unsere Tochter fährt mit dem Auto nach Dresden.</t>
  </si>
  <si>
    <t>Mein Papa ist der beste.</t>
  </si>
  <si>
    <t>Ich liebe meine Mama.</t>
  </si>
  <si>
    <t>Die Geschwister mögen sich nicht.</t>
  </si>
  <si>
    <t>Ist das dein Bruder?</t>
  </si>
  <si>
    <t>Meine Schwester heißt Monique.</t>
  </si>
  <si>
    <t>Seine Tante ist vierzig Jahre alt.</t>
  </si>
  <si>
    <t>Mein Onkel ist der Vater meiner Cousine.</t>
  </si>
  <si>
    <t>Mein Cousin ist der Sohn meiner Tante.</t>
  </si>
  <si>
    <t>Meine Cousine ist die Tochter meines Onkels.</t>
  </si>
  <si>
    <t>Sie sind seit dreißig Jahren ein Ehepaar.</t>
  </si>
  <si>
    <t>Mein Mann hat sich neu verliebt.</t>
  </si>
  <si>
    <t>Seine Frau ist sehr reich.</t>
  </si>
  <si>
    <t>Ihr Freund ist häßlich aber reich.</t>
  </si>
  <si>
    <t>Die schöne Frau da vorne ist meine Freundin.</t>
  </si>
  <si>
    <t>Ich suche einen Partner.</t>
  </si>
  <si>
    <t>Haben sie eine Partnerin?</t>
  </si>
  <si>
    <t>Die Leute wollen mehr Geld.</t>
  </si>
  <si>
    <t>Kann ich ihnen helfen mein Herr.</t>
  </si>
  <si>
    <t>Das ist aber ein schönes Baby.</t>
  </si>
  <si>
    <t>Ein Erwachsener ist älter als achtzehn Jahre.</t>
  </si>
  <si>
    <t>Ein Jugendlicher ist ein bisschen Kind und ein bisschen Erwachsener.</t>
  </si>
  <si>
    <t>Ich hatte ein gutes Gespräch mit meinem Sohn.</t>
  </si>
  <si>
    <t>Im Kinderwagen war kein Kind.</t>
  </si>
  <si>
    <t>Ich habe dem Baby einen Kuss gegeben.</t>
  </si>
  <si>
    <t>Wann ist eure Hochzeit?</t>
  </si>
  <si>
    <t>Das Leben in Deutschland ist teuer.</t>
  </si>
  <si>
    <t>Ich kenne so viele Menschen.</t>
  </si>
  <si>
    <t>Der alte Mann erzählt uns seine Geschichte.</t>
  </si>
  <si>
    <t>Wir kochen für eine große Gruppe.</t>
  </si>
  <si>
    <t>Der Babysitter möchte dreißig Euro haben.</t>
  </si>
  <si>
    <t>Ich hatte schon lange keinen Kontakt mehr zu meinen Eltern.</t>
  </si>
  <si>
    <t>Das ist nur ein Bekannter.</t>
  </si>
  <si>
    <t>Alle Verwandten kommen zu unserer Hochzeit.</t>
  </si>
  <si>
    <t>Wo ist der Treffpunkt?</t>
  </si>
  <si>
    <t>Die Großeltern lassen das Kind nicht mehr los.</t>
  </si>
  <si>
    <t>Ich kenne meinen Vater nicht.</t>
  </si>
  <si>
    <t>Erkennst du deinen Sohn nicht mehr?</t>
  </si>
  <si>
    <t>Der Großvater erzählt von der Zeit als er jung war.</t>
  </si>
  <si>
    <t>Die Leute reden schon über euch.</t>
  </si>
  <si>
    <t>Der Großvater küsst die Großmutter.</t>
  </si>
  <si>
    <t>Du siehst wie deine Mutter aus.</t>
  </si>
  <si>
    <t>Sie müssen ihre Tochter besser erziehen.</t>
  </si>
  <si>
    <t>Wann ist dein Onkel geboren?</t>
  </si>
  <si>
    <t>Mein Onkel lebt nicht mehr.</t>
  </si>
  <si>
    <t>Die Mutter erlaubt ihren Kindern noch etwas zu essen.</t>
  </si>
  <si>
    <t>Das hat nicht geklappt.</t>
  </si>
  <si>
    <t>Unsere Tante ruft uns zum Abendessen.</t>
  </si>
  <si>
    <t>Der Babysitter betreut unsere Kinder.</t>
  </si>
  <si>
    <t>Kann mir jemand helfen?</t>
  </si>
  <si>
    <t>ich möchte andere Eltern.</t>
  </si>
  <si>
    <t>Sogar deine Familie mag dich nicht.</t>
  </si>
  <si>
    <t>Mein Vater ist jünger als meine Mutter.</t>
  </si>
  <si>
    <t>Meine Mutter ist älter als mein Vater.</t>
  </si>
  <si>
    <t>Seine Freundin ist sehr schön.</t>
  </si>
  <si>
    <t>Meine Kinder sind nicht häßlich.</t>
  </si>
  <si>
    <t>Ich werde später sehr reich.</t>
  </si>
  <si>
    <t>Unsere Großeltern sind sehr arm.</t>
  </si>
  <si>
    <t>Junge Männer sind sehr stark.</t>
  </si>
  <si>
    <t>Alte Menschen sind oft schwach.</t>
  </si>
  <si>
    <t>Ich möchte jetzt bitte allein sein.</t>
  </si>
  <si>
    <t>Wollen wir zusammen mit deinen Eltern reden?</t>
  </si>
  <si>
    <t>Die Jungendlichen sind verliebt.</t>
  </si>
  <si>
    <t>Dein Sohn ist ein bisschen anders.</t>
  </si>
  <si>
    <t>Seine Geschwister sind mir bekannt.</t>
  </si>
  <si>
    <t>Sein Großvater war sehr berühmt.</t>
  </si>
  <si>
    <t>Wer ist der fremde Mann?</t>
  </si>
  <si>
    <t>Von wem ist sie schwanger?</t>
  </si>
  <si>
    <t>spielen</t>
  </si>
  <si>
    <t>lernen</t>
  </si>
  <si>
    <t>studieren</t>
  </si>
  <si>
    <t>fragen</t>
  </si>
  <si>
    <t>antworten</t>
  </si>
  <si>
    <t>ankreuzen</t>
  </si>
  <si>
    <t>buchstabieren</t>
  </si>
  <si>
    <t>schreiben</t>
  </si>
  <si>
    <t>lesen</t>
  </si>
  <si>
    <t>hören</t>
  </si>
  <si>
    <t>sehen</t>
  </si>
  <si>
    <t>erklären</t>
  </si>
  <si>
    <t>markieren</t>
  </si>
  <si>
    <t>notieren</t>
  </si>
  <si>
    <t>ergänzen</t>
  </si>
  <si>
    <t>kontrollieren</t>
  </si>
  <si>
    <t>raten</t>
  </si>
  <si>
    <t>stimmen</t>
  </si>
  <si>
    <t>üben</t>
  </si>
  <si>
    <t>überlegen</t>
  </si>
  <si>
    <t>vorlesen</t>
  </si>
  <si>
    <t>wissen</t>
  </si>
  <si>
    <t>ersetzen</t>
  </si>
  <si>
    <t>zuhören</t>
  </si>
  <si>
    <t>beachten</t>
  </si>
  <si>
    <t>eintragen</t>
  </si>
  <si>
    <t>korrigieren</t>
  </si>
  <si>
    <t>nachschlagen</t>
  </si>
  <si>
    <t>wiederholen</t>
  </si>
  <si>
    <t>der Kindergarten</t>
  </si>
  <si>
    <t>der Erzieher/ die Erzieherin</t>
  </si>
  <si>
    <t>das Spielzeug</t>
  </si>
  <si>
    <t>die Schule</t>
  </si>
  <si>
    <t>der Schüler/ die Schülerin</t>
  </si>
  <si>
    <t>der Lehrer/ die Lehrerin</t>
  </si>
  <si>
    <t>die Universität</t>
  </si>
  <si>
    <t>der Dozent/ die Dozentin</t>
  </si>
  <si>
    <t>der Student/ die Studentin</t>
  </si>
  <si>
    <t>die Frage</t>
  </si>
  <si>
    <t>die Antwort</t>
  </si>
  <si>
    <t>die Aufgabe</t>
  </si>
  <si>
    <t>die Lösung</t>
  </si>
  <si>
    <t>der Fehler</t>
  </si>
  <si>
    <t>die Prüfung</t>
  </si>
  <si>
    <t>der Test</t>
  </si>
  <si>
    <t>der Buchstabe</t>
  </si>
  <si>
    <t>das Wort</t>
  </si>
  <si>
    <t>der Satz</t>
  </si>
  <si>
    <t>der Text</t>
  </si>
  <si>
    <t>der Stift</t>
  </si>
  <si>
    <t>das Papier</t>
  </si>
  <si>
    <t>das Buch</t>
  </si>
  <si>
    <t>die Brille</t>
  </si>
  <si>
    <t>der Anfang</t>
  </si>
  <si>
    <t>die Mitte</t>
  </si>
  <si>
    <t>das Ende</t>
  </si>
  <si>
    <t>die Volkshochschule</t>
  </si>
  <si>
    <t>das Beispiel</t>
  </si>
  <si>
    <t>der Kurs</t>
  </si>
  <si>
    <t>die Liste</t>
  </si>
  <si>
    <t>der Bleistift</t>
  </si>
  <si>
    <t>das Heft</t>
  </si>
  <si>
    <t>der Kuli</t>
  </si>
  <si>
    <t>die Schere</t>
  </si>
  <si>
    <t>die Hausaufgabe</t>
  </si>
  <si>
    <t>die Tabelle</t>
  </si>
  <si>
    <t>die Tafel</t>
  </si>
  <si>
    <t>die Klasse</t>
  </si>
  <si>
    <t>der Ausdruck</t>
  </si>
  <si>
    <t>die Notiz</t>
  </si>
  <si>
    <t>der Fall</t>
  </si>
  <si>
    <t>der Punkt</t>
  </si>
  <si>
    <t>das Wörterbuch</t>
  </si>
  <si>
    <t>die Regel</t>
  </si>
  <si>
    <t>die Ausnahme</t>
  </si>
  <si>
    <t>die Idee</t>
  </si>
  <si>
    <t>der Schluss</t>
  </si>
  <si>
    <t>die Seite</t>
  </si>
  <si>
    <t>der Unterricht</t>
  </si>
  <si>
    <t>der Zettel</t>
  </si>
  <si>
    <t>richtig</t>
  </si>
  <si>
    <t>falsch</t>
  </si>
  <si>
    <t>interessant</t>
  </si>
  <si>
    <t>langweilig</t>
  </si>
  <si>
    <t>einfach</t>
  </si>
  <si>
    <t>intensiv</t>
  </si>
  <si>
    <t>Der Großvater spielt mit dem Baby.</t>
  </si>
  <si>
    <t>Die Kinder lernen in der Schule.</t>
  </si>
  <si>
    <t>Die jungen Leute studieren an der Universität.</t>
  </si>
  <si>
    <t>Kann ich dich etwas fragen?</t>
  </si>
  <si>
    <t>Wann antwortest du mir endlich?</t>
  </si>
  <si>
    <t>Sie müssen die richtige Antwort ankreuzen.</t>
  </si>
  <si>
    <t>Kannst du das Wort buchstabieren?</t>
  </si>
  <si>
    <t>Wir schreiben einen Text über Deutschland.</t>
  </si>
  <si>
    <t>Hast du das Buch gelesen?</t>
  </si>
  <si>
    <t>Der Mann spricht mit seiner Frau über sein Auto.</t>
  </si>
  <si>
    <t>Kannst du das Baby hören?</t>
  </si>
  <si>
    <t>Ich sehe dich nicht.</t>
  </si>
  <si>
    <t>Der Lehrer erklärt den Kindern die Aufgabe.</t>
  </si>
  <si>
    <t>Du musst die Wörter die du nicht verstehst markieren.</t>
  </si>
  <si>
    <t>Kann ich mir bitte ihre Telefonnummer notieren?</t>
  </si>
  <si>
    <t>Du musst den Satz ergänzen.</t>
  </si>
  <si>
    <t>Der Lehrer kontrolliert den Test.</t>
  </si>
  <si>
    <t>Wenn du es nicht weißt musst du raten.</t>
  </si>
  <si>
    <t>Stimmt meine Lösung?</t>
  </si>
  <si>
    <t>Du musst noch viel üben.</t>
  </si>
  <si>
    <t>Überleg bitte noch ein bisschen.</t>
  </si>
  <si>
    <t>Wer möchte den Text vorlesen?</t>
  </si>
  <si>
    <t>Wer weiß die richtige Antwort?</t>
  </si>
  <si>
    <t>Du hast es kaputt gemacht jetzt musst du es mir ersetzen.</t>
  </si>
  <si>
    <t>Ihr sollt mir zuhören.</t>
  </si>
  <si>
    <t>Beachtet bitte die dritte Aufgabe.</t>
  </si>
  <si>
    <t>Tragt die Hausaufgabe bitte in euer Hausaufgabenheft ein.</t>
  </si>
  <si>
    <t>Korrigieren sie bitte die falschen Antworten.</t>
  </si>
  <si>
    <t>Das Wort kannst du im Wörterbuch nachschlagen.</t>
  </si>
  <si>
    <t>Kannst du das bitte wiederholen.</t>
  </si>
  <si>
    <t>Die kleinen Kinder gehen in den Kindergarten.</t>
  </si>
  <si>
    <t>Die Kinder hören den Erziehern nicht zu.</t>
  </si>
  <si>
    <t>Ein Kindergarten braucht viel Spielzeug.</t>
  </si>
  <si>
    <t>In der Schule kann man etwas lernen.</t>
  </si>
  <si>
    <t>Die Schüler machen ihre Hausaufgaben.</t>
  </si>
  <si>
    <t>Der Lehrer fragt die Schüler.</t>
  </si>
  <si>
    <t>An der Universität muss man viel lernen.</t>
  </si>
  <si>
    <t>Der Dozent macht sehr guten Unterricht.</t>
  </si>
  <si>
    <t>Die Studenten haben ihre Aufgaben nicht gemacht.</t>
  </si>
  <si>
    <t>Ich habe eine Frage.</t>
  </si>
  <si>
    <t>Kennen sie die Antwort?</t>
  </si>
  <si>
    <t>Der Test hat sechzig Aufgaben.</t>
  </si>
  <si>
    <t>Ich weiß die Lösung.</t>
  </si>
  <si>
    <t>Meine Tochter hat null Fehler im Test.</t>
  </si>
  <si>
    <t>Die Studenten lernen für die Prüfung.</t>
  </si>
  <si>
    <t>Der Arzt macht einen Test.</t>
  </si>
  <si>
    <t>Was ist das für ein Buchstabe?</t>
  </si>
  <si>
    <t>Mir fehlen die Worte.</t>
  </si>
  <si>
    <t>Kannst du bitte in ganzen Sätzen sprechen.</t>
  </si>
  <si>
    <t>Was steht in dem Text?</t>
  </si>
  <si>
    <t>Kannst du mir bitte deinen Stift geben.</t>
  </si>
  <si>
    <t>Schreib bitte deinen Namen auf das Papier.</t>
  </si>
  <si>
    <t>Öffnet bitte eure Bücher.</t>
  </si>
  <si>
    <t>Der Lehrer trägt eine Brille.</t>
  </si>
  <si>
    <t>Der Anfang ist immer am schwersten.</t>
  </si>
  <si>
    <t>Ich bin in der Mitte des Tests.</t>
  </si>
  <si>
    <t>Wir sind am Ende der heutigen Unterrichtsstunde.</t>
  </si>
  <si>
    <t>Erwachsene Menschen können an der Volkshochschule lernen.</t>
  </si>
  <si>
    <t>Geben sie mir bitte ein Beispiel mit diesem Wort.</t>
  </si>
  <si>
    <t>Der Kurs ist sehr schwer.</t>
  </si>
  <si>
    <t>Schreiben sie bitte ihre Telefonnummer in die Liste.</t>
  </si>
  <si>
    <t>Mein Bleistift ist kaputt.</t>
  </si>
  <si>
    <t>Ich habe die Aufgabe in mein Heft geschrieben.</t>
  </si>
  <si>
    <t>Ich schreibe lieber mit Kuli.</t>
  </si>
  <si>
    <t>Die Mutter schneidet das Papier mit einer Schere.</t>
  </si>
  <si>
    <t>Hast du deine Hausaufgaben gemacht?</t>
  </si>
  <si>
    <t>Macht bitte eine Tabelle.</t>
  </si>
  <si>
    <t>Der Lehrer schreibt den Satz an die Tafel.</t>
  </si>
  <si>
    <t>Die ganze Klasse lacht über den Lehrer.</t>
  </si>
  <si>
    <t>Dein Ausdruck ist nicht gut.</t>
  </si>
  <si>
    <t>Die Studenten machen sich Notizen.</t>
  </si>
  <si>
    <t>Welcher Fall ist das?</t>
  </si>
  <si>
    <t>Am Ende des Satzes kommt ein Punkt.</t>
  </si>
  <si>
    <t>Suchen sie das Wort bitte im Wörterbuch.</t>
  </si>
  <si>
    <t>Kennst du die Regel?</t>
  </si>
  <si>
    <t>Das ist eine Ausnahme.</t>
  </si>
  <si>
    <t>Ich habe eine Idee.</t>
  </si>
  <si>
    <t>Für heute ist Schluss.</t>
  </si>
  <si>
    <t>Das Buch hat über zweihundert Seiten.</t>
  </si>
  <si>
    <t>Der Unterricht bei Herrn Müller ist wirklich intensiv.</t>
  </si>
  <si>
    <t>Können sie mir bitte einen kleinen Zettel geben damit ich ihre Telefonnummer aufschreiben kann.</t>
  </si>
  <si>
    <t>Ist das richtig?</t>
  </si>
  <si>
    <t>Das ist falsch.</t>
  </si>
  <si>
    <t>Das Buch ist sehr interessant.</t>
  </si>
  <si>
    <t>Sein Unterricht ist wirklich langweilig.</t>
  </si>
  <si>
    <t>Der Test war sehr einfach.</t>
  </si>
  <si>
    <t>Die Aufgabe ist zu schwer für die Schüler.</t>
  </si>
  <si>
    <t>Wir müssen jetzt endlich intensiv lernen.</t>
  </si>
  <si>
    <t>telefonieren</t>
  </si>
  <si>
    <t>simsen</t>
  </si>
  <si>
    <t>klicken</t>
  </si>
  <si>
    <t>fernsehen</t>
  </si>
  <si>
    <t>anrufen</t>
  </si>
  <si>
    <t>erreichen</t>
  </si>
  <si>
    <t>weltweit</t>
  </si>
  <si>
    <t>vereinbaren</t>
  </si>
  <si>
    <t>drucken</t>
  </si>
  <si>
    <t>nennen</t>
  </si>
  <si>
    <t>überweisen</t>
  </si>
  <si>
    <t>installieren</t>
  </si>
  <si>
    <t>die Karte</t>
  </si>
  <si>
    <t>das Fax</t>
  </si>
  <si>
    <t>der Brief</t>
  </si>
  <si>
    <t>die Briefmarke</t>
  </si>
  <si>
    <t>der Absender/ die Absenderin</t>
  </si>
  <si>
    <t>der Empfänger/ die Empfängerin</t>
  </si>
  <si>
    <t>das Telefon</t>
  </si>
  <si>
    <t>das Handy</t>
  </si>
  <si>
    <t>die SMS</t>
  </si>
  <si>
    <t>das Telefonbuch</t>
  </si>
  <si>
    <t>die Telefonnummer</t>
  </si>
  <si>
    <t>das Internet</t>
  </si>
  <si>
    <t>die E-Mail</t>
  </si>
  <si>
    <t>der Computer</t>
  </si>
  <si>
    <t>der Bildschirm</t>
  </si>
  <si>
    <t>die Maus</t>
  </si>
  <si>
    <t>die Tastatur</t>
  </si>
  <si>
    <t>der Drucker</t>
  </si>
  <si>
    <t>die Zeitung</t>
  </si>
  <si>
    <t>die Zeitschrift</t>
  </si>
  <si>
    <t>die Anzeige</t>
  </si>
  <si>
    <t>die CD</t>
  </si>
  <si>
    <t>der CD-Player</t>
  </si>
  <si>
    <t>das Radio</t>
  </si>
  <si>
    <t>der Fernseher</t>
  </si>
  <si>
    <t>die Kiste</t>
  </si>
  <si>
    <t>die Schachtel</t>
  </si>
  <si>
    <t>der Internetanschluß</t>
  </si>
  <si>
    <t>die Vorwahl</t>
  </si>
  <si>
    <t>die Überweisung</t>
  </si>
  <si>
    <t>der Anrufbeantworter</t>
  </si>
  <si>
    <t>der Gruß</t>
  </si>
  <si>
    <t>der Anruf</t>
  </si>
  <si>
    <t>das Amt</t>
  </si>
  <si>
    <t>der Monitor</t>
  </si>
  <si>
    <t>Ich telefoniere morgen mit meiner Mutter.</t>
  </si>
  <si>
    <t>Kannst du mir die Kontonummer simsen.</t>
  </si>
  <si>
    <t>Du musst mit der Maus klicken.</t>
  </si>
  <si>
    <t>Die Kinder wollen immer nur fernsehen.</t>
  </si>
  <si>
    <t>Kannst du mich morgen anrufen?</t>
  </si>
  <si>
    <t>Ich habe sie leider nicht erreicht.</t>
  </si>
  <si>
    <t>Mit diesem Handy kann ich weltweit sehr preiswert telefonieren.</t>
  </si>
  <si>
    <t>Wir müssen einen Preis für das Auto vereinbaren.</t>
  </si>
  <si>
    <t>Ich drucke ihnen den Text aus.</t>
  </si>
  <si>
    <t>Nennen sie mir bitte ihren Namen.</t>
  </si>
  <si>
    <t>Wir müssen jeden Monat die Miete an unseren Vermieter überweisen.</t>
  </si>
  <si>
    <t>Kann er Windows auf meinem Computer installieren?</t>
  </si>
  <si>
    <t>Nennen sie mir bitte ihre Postleitzahl.</t>
  </si>
  <si>
    <t>Ich habe meiner Mutter eine schöne Karte geschickt.</t>
  </si>
  <si>
    <t>Wir können der Bank ein Fax schicken.</t>
  </si>
  <si>
    <t>Wir müssen dem Amt einen Brief schreiben.</t>
  </si>
  <si>
    <t>Hast du eine Briefmarke für den  Brief?</t>
  </si>
  <si>
    <t>Du musst den Absender auf den Brief schreiben.</t>
  </si>
  <si>
    <t>Jetzt habe ich den Empfänger vergessen.</t>
  </si>
  <si>
    <t>Kannst du mal bitte an das Telefon gehen?</t>
  </si>
  <si>
    <t>Ihr habt sehr viele Kontakte auf eurem Handy.</t>
  </si>
  <si>
    <t>Ich schicke dir schnell eine SMS.</t>
  </si>
  <si>
    <t>Du findest seine Nummer im Telefonbuch.</t>
  </si>
  <si>
    <t>Weißt du die Telefonnummer vom Amt?</t>
  </si>
  <si>
    <t>Ich gehe ins Internet.</t>
  </si>
  <si>
    <t>Ich habe keine Antwort auf meine E-Mail bekommen.</t>
  </si>
  <si>
    <t>Der Computer ist leider kaputt.</t>
  </si>
  <si>
    <t>Der Bildschirm funktioniert wieder.</t>
  </si>
  <si>
    <t>Ich habe keine Maus für meinen Computer.</t>
  </si>
  <si>
    <t>Meine Mutter schreibt sehr mit zehn Fingern auf der Tastatur.</t>
  </si>
  <si>
    <t>Geht der Drucker?</t>
  </si>
  <si>
    <t>Mein Freund kauft sich eine Zeitung am Kiosk.</t>
  </si>
  <si>
    <t>Ich lese lieber eine Zeitschrift.</t>
  </si>
  <si>
    <t>Da steht eine Anzeige für eine Wohnung in der Zeitung.</t>
  </si>
  <si>
    <t>Wir benutzen keine CDs mehr.</t>
  </si>
  <si>
    <t>Der CD-Player ist schon alt.</t>
  </si>
  <si>
    <t>Ich höre Radio beim putzen.</t>
  </si>
  <si>
    <t>Wir brauchen einen neuen Fernseher.</t>
  </si>
  <si>
    <t>Der Vater öffnet die Kiste.</t>
  </si>
  <si>
    <t>In der Schachtel sind nur alte CDs</t>
  </si>
  <si>
    <t>Ohne Internet ist es langweilig.</t>
  </si>
  <si>
    <t>Wir haben noch keinen Internetanschluß in unserer neuen Wohnung.</t>
  </si>
  <si>
    <t>Du musst die Vorwahl wählen.</t>
  </si>
  <si>
    <t>Hast du gestern die Überweisung gemacht?</t>
  </si>
  <si>
    <t>Ich habe ihm auf den Anrufbeantworter gesprochen.</t>
  </si>
  <si>
    <t>Sag ihm einen schönen Gruß von mir.</t>
  </si>
  <si>
    <t>Hast du seinen Anruf bekommen?</t>
  </si>
  <si>
    <t>Ich muss schon wieder zum Amt.</t>
  </si>
  <si>
    <t>Was steht dort auf dem Monitor?</t>
  </si>
  <si>
    <t>der Sport</t>
  </si>
  <si>
    <t>Basketball</t>
  </si>
  <si>
    <t>Fußball</t>
  </si>
  <si>
    <t>Jogging</t>
  </si>
  <si>
    <t>Handball</t>
  </si>
  <si>
    <t>Tennis</t>
  </si>
  <si>
    <t>Tischtennis</t>
  </si>
  <si>
    <t>Volleyball</t>
  </si>
  <si>
    <t>der Ball</t>
  </si>
  <si>
    <t>das Schwimmbad</t>
  </si>
  <si>
    <t>die Sporthalle</t>
  </si>
  <si>
    <t>der Sportplatz</t>
  </si>
  <si>
    <t>das Kino</t>
  </si>
  <si>
    <t>das Museum</t>
  </si>
  <si>
    <t>das Theater</t>
  </si>
  <si>
    <t>der Alltag</t>
  </si>
  <si>
    <t>der Rhythmus</t>
  </si>
  <si>
    <t>der Spielplatz</t>
  </si>
  <si>
    <t>der Verein</t>
  </si>
  <si>
    <t>die Kamera</t>
  </si>
  <si>
    <t>die Musik</t>
  </si>
  <si>
    <t>die Aktivität</t>
  </si>
  <si>
    <t>die Bibliothek</t>
  </si>
  <si>
    <t>der Biergarten</t>
  </si>
  <si>
    <t>der Eintritt</t>
  </si>
  <si>
    <t>das Konzert</t>
  </si>
  <si>
    <t>der Krimi</t>
  </si>
  <si>
    <t>der Bundestag</t>
  </si>
  <si>
    <t>die Disco</t>
  </si>
  <si>
    <t>das Picknick</t>
  </si>
  <si>
    <t>die Kultur</t>
  </si>
  <si>
    <t>die Möglichkeit</t>
  </si>
  <si>
    <t>das Programm</t>
  </si>
  <si>
    <t>die Sehenswürdigkeit</t>
  </si>
  <si>
    <t>die Erfahrung</t>
  </si>
  <si>
    <t>das Ziel</t>
  </si>
  <si>
    <t>der Club</t>
  </si>
  <si>
    <t>das Fest</t>
  </si>
  <si>
    <t>die Bar</t>
  </si>
  <si>
    <t>das Spiel</t>
  </si>
  <si>
    <t>der Spaß</t>
  </si>
  <si>
    <t>schwimmen</t>
  </si>
  <si>
    <t>tanzen</t>
  </si>
  <si>
    <t>wandern</t>
  </si>
  <si>
    <t>malen</t>
  </si>
  <si>
    <t>werfen</t>
  </si>
  <si>
    <t>fangen</t>
  </si>
  <si>
    <t>sammeln</t>
  </si>
  <si>
    <t>glauben</t>
  </si>
  <si>
    <t>feiern</t>
  </si>
  <si>
    <t>grillen</t>
  </si>
  <si>
    <t>trainieren</t>
  </si>
  <si>
    <t>träumen</t>
  </si>
  <si>
    <t>zeichnen</t>
  </si>
  <si>
    <t>besichtigen</t>
  </si>
  <si>
    <t>erleben</t>
  </si>
  <si>
    <t>eröffnen</t>
  </si>
  <si>
    <t>singen</t>
  </si>
  <si>
    <t>historisch</t>
  </si>
  <si>
    <t>spannend</t>
  </si>
  <si>
    <t>noch einmal</t>
  </si>
  <si>
    <t>Ich gehe jeden Tag schwimmen.</t>
  </si>
  <si>
    <t>Wir tanzen die ganze Nacht.</t>
  </si>
  <si>
    <t>Wir sind zwei Stunden gewandert.</t>
  </si>
  <si>
    <t>Es macht mir großen Spaß zu malen.</t>
  </si>
  <si>
    <t>Kannst du den Ball bitte zu mir werfen?</t>
  </si>
  <si>
    <t>Das Kinder hat den Ball nicht gefangen.</t>
  </si>
  <si>
    <t>Mein Vater sammelt Briefmarken.</t>
  </si>
  <si>
    <t>Ich glaube das nicht.</t>
  </si>
  <si>
    <t>Wir gehen jedes Wochenende feiern.</t>
  </si>
  <si>
    <t>Ich habe abends mit meiner Familie gegrillt.</t>
  </si>
  <si>
    <t>Wir müssen zwei Mal am Tag trainieren.</t>
  </si>
  <si>
    <t>Wenn ich schlafe träume ich viel.</t>
  </si>
  <si>
    <t>Kannst du schon ein Haus zeichnen?</t>
  </si>
  <si>
    <t>Wir besichtigen die Sehenswürdigkeiten der Stadt.</t>
  </si>
  <si>
    <t>Wir haben heute sehr viel erlebt.</t>
  </si>
  <si>
    <t>In Berlin eröffnet ein neues Museum.</t>
  </si>
  <si>
    <t>Ich singe gerne beim wandern.</t>
  </si>
  <si>
    <t>Der Arzt sagt du sollst mehr Sport machen.</t>
  </si>
  <si>
    <t>Die Kinder spielen Basketball.</t>
  </si>
  <si>
    <t>Es kommt wieder Fußball im Fernsehen.</t>
  </si>
  <si>
    <t>Ich mache viel Jogging.</t>
  </si>
  <si>
    <t>Er spielt sehr gut Handball.</t>
  </si>
  <si>
    <t>Ich kann leider kein Tennis.</t>
  </si>
  <si>
    <t>Tischtennis macht mir großen Spaß.</t>
  </si>
  <si>
    <t>Beim Volleyball muss man groß sein.</t>
  </si>
  <si>
    <t>Wer hat den Ball gefangen?</t>
  </si>
  <si>
    <t>Komm wir machen einen Spaziergang.</t>
  </si>
  <si>
    <t>Die ganze Familie geht am Samstag in das Schwimmbad.</t>
  </si>
  <si>
    <t>Im Sportunterricht geht die Klasse in die Sporthalle.</t>
  </si>
  <si>
    <t>Heute müssen wir auf den Sportplatz.</t>
  </si>
  <si>
    <t>Die jungen Leute gehen gerne ins Kino.</t>
  </si>
  <si>
    <t>Alte Leute gehen gerne ins Museum.</t>
  </si>
  <si>
    <t>Das Theater ist nichts für mich.</t>
  </si>
  <si>
    <t>Wie sieht dein Alltag aus?</t>
  </si>
  <si>
    <t>Beim Schwimmen braucht man einen guten Rhythmus.</t>
  </si>
  <si>
    <t>Wir gehen mit unserem Sohn auf den Spielplatz.</t>
  </si>
  <si>
    <t>Gibt es hier einen Fußballverein?</t>
  </si>
  <si>
    <t>Du musst viele Fotos mit deiner Kamera machen.</t>
  </si>
  <si>
    <t>Aus dem Radio kommt schöne Musik.</t>
  </si>
  <si>
    <t>Wir müssen mehr Aktivitäten machen.</t>
  </si>
  <si>
    <t>In der Bibliothek gibt es viele Bücher.</t>
  </si>
  <si>
    <t>Im Sommer gehen die Leute in den Biergarten.</t>
  </si>
  <si>
    <t>Der Eintritt kostet sechs Euro.</t>
  </si>
  <si>
    <t>Das Konzert war wirklich schön.</t>
  </si>
  <si>
    <t>Ich habe einen schlimmen Krimi gelesen.</t>
  </si>
  <si>
    <t>Die Klasse besichtigt den Bundestag.</t>
  </si>
  <si>
    <t>Die Jugendlichen gehen gerne in die Disco.</t>
  </si>
  <si>
    <t>Verliebte Leute machen gerne ein Picknick.</t>
  </si>
  <si>
    <t>Ich finde die deutsche Kultur sehr interessant.</t>
  </si>
  <si>
    <t>Es gibt so viele Möglichkeiten.</t>
  </si>
  <si>
    <t>Der Mann installiert das Programm auf dem Computer.</t>
  </si>
  <si>
    <t>Ich habe viele Sehenswürdigkeiten gesehen.</t>
  </si>
  <si>
    <t>Hast du Erfahrung mit Autos?</t>
  </si>
  <si>
    <t>Unser Ziel ist es gut Fußball zu spielen.</t>
  </si>
  <si>
    <t>Im Club kann man tanzen.</t>
  </si>
  <si>
    <t>Wir feiern viele Feste.</t>
  </si>
  <si>
    <t>Wir gehen an die Bar und trinken noch ein Glas Wein.</t>
  </si>
  <si>
    <t>Hast du das Spiel gesehen?</t>
  </si>
  <si>
    <t>Ich hatte keinen Spaß.</t>
  </si>
  <si>
    <t>Im Museum sieht man historische Gegenstände.</t>
  </si>
  <si>
    <t>Der Vater erzählt eine spannende Geschichte.</t>
  </si>
  <si>
    <t>Ich möchte noch einmal ins Schwimmbad.</t>
  </si>
  <si>
    <t>arbeiten</t>
  </si>
  <si>
    <t>zusammenarbeiten</t>
  </si>
  <si>
    <t>anmelden</t>
  </si>
  <si>
    <t>anstellen</t>
  </si>
  <si>
    <t>anstrengend</t>
  </si>
  <si>
    <t>leidtun</t>
  </si>
  <si>
    <t>klären</t>
  </si>
  <si>
    <t>aufhören</t>
  </si>
  <si>
    <t>erfinden</t>
  </si>
  <si>
    <t>testen</t>
  </si>
  <si>
    <t>die Firma</t>
  </si>
  <si>
    <t>der Empfang</t>
  </si>
  <si>
    <t>das Büro</t>
  </si>
  <si>
    <t>der Schreibtisch</t>
  </si>
  <si>
    <t>die Arbeit</t>
  </si>
  <si>
    <t>der Chef/ die Chefin</t>
  </si>
  <si>
    <t>der Kollege/ die Kollegin</t>
  </si>
  <si>
    <t>die Pause</t>
  </si>
  <si>
    <t>der Feierabend</t>
  </si>
  <si>
    <t>der Stundenlohn</t>
  </si>
  <si>
    <t>das Projekt</t>
  </si>
  <si>
    <t>die Voraussetzung</t>
  </si>
  <si>
    <t>die Vorbereitung</t>
  </si>
  <si>
    <t>das Interview</t>
  </si>
  <si>
    <t>die Kantine</t>
  </si>
  <si>
    <t>das Team</t>
  </si>
  <si>
    <t>die Überstunde</t>
  </si>
  <si>
    <t>der Erfolg</t>
  </si>
  <si>
    <t>die Arbeitsstelle</t>
  </si>
  <si>
    <t>der Bedarf</t>
  </si>
  <si>
    <t>die Feuerwehr</t>
  </si>
  <si>
    <t>die Pünktlichkeit</t>
  </si>
  <si>
    <t>der Vorteil</t>
  </si>
  <si>
    <t>die Ausbildung</t>
  </si>
  <si>
    <t>die Berufsausbildung</t>
  </si>
  <si>
    <t>der Ausbau</t>
  </si>
  <si>
    <t>der Bereich</t>
  </si>
  <si>
    <t>der Betrieb</t>
  </si>
  <si>
    <t>die Bezahlung</t>
  </si>
  <si>
    <t>die Buchhandlung</t>
  </si>
  <si>
    <t>der Direktor/ die Direktorin</t>
  </si>
  <si>
    <t>der Ingenieur/ die Ingenieurin</t>
  </si>
  <si>
    <t>der Angestellte/ die Angestellte</t>
  </si>
  <si>
    <t>die Bewerbung</t>
  </si>
  <si>
    <t>der Beruf</t>
  </si>
  <si>
    <t>der Anwalt/ die Anwältin</t>
  </si>
  <si>
    <t>der Arbeiter/ die Arbeiterin</t>
  </si>
  <si>
    <t>der Bäcker/ die Bäckerin</t>
  </si>
  <si>
    <t>der Bauer/ die Bäuerin</t>
  </si>
  <si>
    <t>der Briefträger/ die Briefträgerin</t>
  </si>
  <si>
    <t>der Elektriker/ die Elektrikerin</t>
  </si>
  <si>
    <t>der Fleischer/ die Fleischerin</t>
  </si>
  <si>
    <t>der Gärtner/ die Gärtnerin</t>
  </si>
  <si>
    <t>die Hausfrau</t>
  </si>
  <si>
    <t>der Hausmeister/ die Hausmeisterin</t>
  </si>
  <si>
    <t>der Klempner/ die Klempnerin</t>
  </si>
  <si>
    <t>der Koch/ die Köchin</t>
  </si>
  <si>
    <t>der Maler/ die Malerin</t>
  </si>
  <si>
    <t>der Maurer/ die Maurerin</t>
  </si>
  <si>
    <t>der Mechaniker/ die Mechanikerin</t>
  </si>
  <si>
    <t>der Polizist/ die Polizistin</t>
  </si>
  <si>
    <t>der Schneider/ die Schneiderin</t>
  </si>
  <si>
    <t>der Sekretär/ die Sekretärin</t>
  </si>
  <si>
    <t>die Rolle</t>
  </si>
  <si>
    <t>das Gehalt</t>
  </si>
  <si>
    <t>der Job</t>
  </si>
  <si>
    <t>der Künstler/ die Künstlerin</t>
  </si>
  <si>
    <t>der Meister/ die Meisterin</t>
  </si>
  <si>
    <t>der Politiker/ die Politikerin</t>
  </si>
  <si>
    <t>der Sänger/ die Sängerin</t>
  </si>
  <si>
    <t>der Arbeitsplatz</t>
  </si>
  <si>
    <t>das Praktikum</t>
  </si>
  <si>
    <t>frei</t>
  </si>
  <si>
    <t>gleichmäßig</t>
  </si>
  <si>
    <t>zuverlässig</t>
  </si>
  <si>
    <t>fleißig</t>
  </si>
  <si>
    <t>üblich</t>
  </si>
  <si>
    <t>ideal</t>
  </si>
  <si>
    <t>netto</t>
  </si>
  <si>
    <t>arbeitslos</t>
  </si>
  <si>
    <t>brutto</t>
  </si>
  <si>
    <t>Ich arbeite immer werktags.</t>
  </si>
  <si>
    <t>Wir müssen endlich zusammenarbeiten.</t>
  </si>
  <si>
    <t>Er möchte sich für die Ausbildung anmelden.</t>
  </si>
  <si>
    <t>Wie viele Arbeiter stellen sie an?</t>
  </si>
  <si>
    <t>Die Arbeit als Bäcker ist sehr anstrengend.</t>
  </si>
  <si>
    <t>Es tut mir leid aber sie können hier nicht arbeiten.</t>
  </si>
  <si>
    <t>Das müssen sie mit ihrer Arbeitsstelle klären.</t>
  </si>
  <si>
    <t>Der Bäcker ist krank und muss mit seiner Arbeit aufhören.</t>
  </si>
  <si>
    <t>Wir erfinden neue Handys.</t>
  </si>
  <si>
    <t>Ich muss die Computer testen.</t>
  </si>
  <si>
    <t>Meiner Firma geht es gut.</t>
  </si>
  <si>
    <t>Können sie sich bitte am Empfang melden?</t>
  </si>
  <si>
    <t>Der Chef sitzt in seinem Büro und wartet.</t>
  </si>
  <si>
    <t>Auf meinem Schreibtisch liegt viel Geld.</t>
  </si>
  <si>
    <t>Ich brauche eine neue Arbeit.</t>
  </si>
  <si>
    <t xml:space="preserve">Mein Chef ist sehr fleißig. </t>
  </si>
  <si>
    <t>Ihre Kollegen sind sehr freundlich zu ihr.</t>
  </si>
  <si>
    <t>Ich brauche jetzt endlich eine Pause.</t>
  </si>
  <si>
    <t>Wann haben wir Feierabend?</t>
  </si>
  <si>
    <t>Für einen Stundenlohn von drei Euro arbeite ich nicht.</t>
  </si>
  <si>
    <t>Dieses Projekt wird sehr teuer.</t>
  </si>
  <si>
    <t>Haben sie die Voraussetzungen für diese Arbeitsstelle?</t>
  </si>
  <si>
    <t>Brauche ich eine Vorbereitung für den Test?</t>
  </si>
  <si>
    <t>Wir machen jetzt ein Interview.</t>
  </si>
  <si>
    <t>Auf der Arbeit esse ich in der Kantine.</t>
  </si>
  <si>
    <t>Das Team ist wirklich zuverlässig.</t>
  </si>
  <si>
    <t>Sie müssen mindestens fünf Überstunden im Monat machen.</t>
  </si>
  <si>
    <t>Ich hatte leider keinen Erfolg.</t>
  </si>
  <si>
    <t>Wie viele Arbeitsstellen haben sie frei?</t>
  </si>
  <si>
    <t>Ich habe keinen Bedarf an Arbeitern.</t>
  </si>
  <si>
    <t>Die Feuerwehr kommt sehr schnell.</t>
  </si>
  <si>
    <t>Pünktlichkeit ist sehr wichtig.</t>
  </si>
  <si>
    <t>Eine gute Ausbildung ist ein großer Vorteil.</t>
  </si>
  <si>
    <t>Haben sie eine Berufsausbildung</t>
  </si>
  <si>
    <t>Wir brauchen noch Leute für den Ausbau des Hotels.</t>
  </si>
  <si>
    <t>In welchem Bereich haben sie gearbeitet.</t>
  </si>
  <si>
    <t>In diesem Betrieb möchte ich nicht arbeiten.</t>
  </si>
  <si>
    <t>Die Bezahlung ist sehr schlecht.</t>
  </si>
  <si>
    <t>Ich arbeite jetzt in einer Buchhandlung.</t>
  </si>
  <si>
    <t>Den Direktor grüße ich immer sehr freundlich.</t>
  </si>
  <si>
    <t>Ich bin Ingenieur.</t>
  </si>
  <si>
    <t>Er ist Angestellter in einer großen Firma.</t>
  </si>
  <si>
    <t>Haben sie uns schon ihre Bewerbung geschickt?</t>
  </si>
  <si>
    <t>Was sind sie von Beruf?</t>
  </si>
  <si>
    <t>Sie brauchen einen guten Anwalt.</t>
  </si>
  <si>
    <t>Wie viele Arbeiter haben sie?</t>
  </si>
  <si>
    <t>Ein Bäcker muss früh aufstehen.</t>
  </si>
  <si>
    <t>Ich bin kein Bauer ich bin Gärtner.</t>
  </si>
  <si>
    <t>Der Briefträger kommt immer pünktlich.</t>
  </si>
  <si>
    <t>Da müssen wir den Elektriker rufen.</t>
  </si>
  <si>
    <t>Ich gehe jetzt zum Fleischer und hole uns zwei Schnitzel.</t>
  </si>
  <si>
    <t>Es ist immer der Gärtner.</t>
  </si>
  <si>
    <t>Ich bin Hausfrau von Beruf.</t>
  </si>
  <si>
    <t>Da müssen sie mit dem Hausmeister sprechen.</t>
  </si>
  <si>
    <t>Der Klempner hat die Toilette repariert.</t>
  </si>
  <si>
    <t>Der Koch arbeitet im Restaurant.</t>
  </si>
  <si>
    <t>Der Maler malt die Wand.</t>
  </si>
  <si>
    <t>Ich bin Maurer von Beruf.</t>
  </si>
  <si>
    <t>Kann der Mechaniker Autos reparieren?</t>
  </si>
  <si>
    <t>Der Polizist wollte mir nicht helfen.</t>
  </si>
  <si>
    <t>Mit der kaputten Hose gehe ich zum Schneider.</t>
  </si>
  <si>
    <t>Rufen sie bitte meinen Sekretär an.</t>
  </si>
  <si>
    <t>Welche Rolle spielen sie hier?</t>
  </si>
  <si>
    <t>Können wir bitte über mein Gehalt sprechen?</t>
  </si>
  <si>
    <t>Das ist wirklich ein guter Job.</t>
  </si>
  <si>
    <t>Ich bin Künstler und kein Arbeiter.</t>
  </si>
  <si>
    <t>Er ist ein Meister in seinem Beruf.</t>
  </si>
  <si>
    <t>Die Politiker haben zu viel Geld.</t>
  </si>
  <si>
    <t>Den Sängern fehlt es immer am Geld.</t>
  </si>
  <si>
    <t>Ich habe heute meinen Arbeitsplatz verloren.</t>
  </si>
  <si>
    <t>Machen sie doch erstmal ein Praktikum bei uns.</t>
  </si>
  <si>
    <t>Ich habe heute frei und muss nicht arbeiten.</t>
  </si>
  <si>
    <t>Jeder bekommt gleichmäßig viel.</t>
  </si>
  <si>
    <t>Wir brauchen zuverlässige Angestellte.</t>
  </si>
  <si>
    <t>Deine Tochter ist sehr fleißig.</t>
  </si>
  <si>
    <t>Das ist hier nicht üblich?</t>
  </si>
  <si>
    <t>Ihre Voraussetzungen sind nicht ideal.</t>
  </si>
  <si>
    <t>Wieviel bekomme ich netto?</t>
  </si>
  <si>
    <t>Ich bin seit zwei Jahren arbeitslos.</t>
  </si>
  <si>
    <t>Ich bekomme eintausend Euro brutto.</t>
  </si>
  <si>
    <t>die Himmelsrichtung</t>
  </si>
  <si>
    <t>der Norden</t>
  </si>
  <si>
    <t>der Westen</t>
  </si>
  <si>
    <t>der Osten</t>
  </si>
  <si>
    <t>der Süden</t>
  </si>
  <si>
    <t>der Himmel</t>
  </si>
  <si>
    <t>die Wolke</t>
  </si>
  <si>
    <t>der Mond</t>
  </si>
  <si>
    <t>der Stern</t>
  </si>
  <si>
    <t>der Planet</t>
  </si>
  <si>
    <t>die Erde</t>
  </si>
  <si>
    <t>das Wetter</t>
  </si>
  <si>
    <t>die Sonne</t>
  </si>
  <si>
    <t>der Regen</t>
  </si>
  <si>
    <t>der Nebel</t>
  </si>
  <si>
    <t>der Schnee</t>
  </si>
  <si>
    <t>der Wind</t>
  </si>
  <si>
    <t>der Sturm</t>
  </si>
  <si>
    <t>das Gewitter</t>
  </si>
  <si>
    <t>der Blitz</t>
  </si>
  <si>
    <t>der Hagel</t>
  </si>
  <si>
    <t>die Luft</t>
  </si>
  <si>
    <t>der Tropfen</t>
  </si>
  <si>
    <t>der Regenschirm</t>
  </si>
  <si>
    <t>schauen</t>
  </si>
  <si>
    <t>gießen</t>
  </si>
  <si>
    <t>heiß</t>
  </si>
  <si>
    <t>nass</t>
  </si>
  <si>
    <t>scheinen</t>
  </si>
  <si>
    <t>die Tiere</t>
  </si>
  <si>
    <t>der Vogel</t>
  </si>
  <si>
    <t>das Insekt</t>
  </si>
  <si>
    <t>der Hund</t>
  </si>
  <si>
    <t>die Katze</t>
  </si>
  <si>
    <t>das Schwein</t>
  </si>
  <si>
    <t>die Kuh</t>
  </si>
  <si>
    <t>das Schaf</t>
  </si>
  <si>
    <t>der Zoo</t>
  </si>
  <si>
    <t>die Pflanze</t>
  </si>
  <si>
    <t>der Strauch</t>
  </si>
  <si>
    <t>der Flieder</t>
  </si>
  <si>
    <t>die Blume</t>
  </si>
  <si>
    <t>die Rose</t>
  </si>
  <si>
    <t>die Lilie</t>
  </si>
  <si>
    <t>der Baum</t>
  </si>
  <si>
    <t>die Landschaft</t>
  </si>
  <si>
    <t>der Berg</t>
  </si>
  <si>
    <t>das Gebirge</t>
  </si>
  <si>
    <t>das Tal</t>
  </si>
  <si>
    <t>der Fluss</t>
  </si>
  <si>
    <t>der See</t>
  </si>
  <si>
    <t>der Bach</t>
  </si>
  <si>
    <t>der Wald</t>
  </si>
  <si>
    <t>die Wiese</t>
  </si>
  <si>
    <t>das Feld</t>
  </si>
  <si>
    <t>der Park</t>
  </si>
  <si>
    <t>die Wüste</t>
  </si>
  <si>
    <t>die Insel</t>
  </si>
  <si>
    <t>das Meer</t>
  </si>
  <si>
    <t>der Blick</t>
  </si>
  <si>
    <t>der Stock</t>
  </si>
  <si>
    <t>die Welt</t>
  </si>
  <si>
    <t>In welche Himmelsrichtung soll ich gehen.</t>
  </si>
  <si>
    <t>Du musst nach Norden schauen.</t>
  </si>
  <si>
    <t>Im Westen geht die Sonne unter.</t>
  </si>
  <si>
    <t>Im Osten geht die Sonne auf.</t>
  </si>
  <si>
    <t>Wir fahren in den Süden.</t>
  </si>
  <si>
    <t>Der Himmer ist blau.</t>
  </si>
  <si>
    <t>Es sind keine Wolken am Himmel.</t>
  </si>
  <si>
    <t>Der Mond scheint sehr hell.</t>
  </si>
  <si>
    <t>Ich habe alle Sterne gezählt.</t>
  </si>
  <si>
    <t>Ist die Erde ein Planet?</t>
  </si>
  <si>
    <t>Wir brauchen unsere Erde.</t>
  </si>
  <si>
    <t>Weißt du wie das Wetter morgen wird?</t>
  </si>
  <si>
    <t>Die Sonne scheint den ganzen Tag.</t>
  </si>
  <si>
    <t>Wann kommt endlich wieder Regen?</t>
  </si>
  <si>
    <t>Bei dem vielen Nebel kann ich nichts sehen.</t>
  </si>
  <si>
    <t>Der Schnee liegt zwei Meter hoch.</t>
  </si>
  <si>
    <t>Heute ist starker Wind.</t>
  </si>
  <si>
    <t>Sehr starken Wind nennt man Sturm.</t>
  </si>
  <si>
    <t>Da kommt ein Gewitter.</t>
  </si>
  <si>
    <t>Hast du den Blitz gesehen.</t>
  </si>
  <si>
    <t>Wenn der Hagel kommt gehen wir ins Haus.</t>
  </si>
  <si>
    <t>Im Winter wird Wasser zu Eis.</t>
  </si>
  <si>
    <t>Die Luft ist sehr trocken.</t>
  </si>
  <si>
    <t>Ich brauche nur einen Tropen Wasser.</t>
  </si>
  <si>
    <t>Hast du deinen Regenschirm dabei?</t>
  </si>
  <si>
    <t>Schauen sie sich die Wolke an.</t>
  </si>
  <si>
    <t>Wer gießt die Blumen?</t>
  </si>
  <si>
    <t>Heute wird es sehr heiß.</t>
  </si>
  <si>
    <t>Nach dem Regen war meine Kleidung nass.</t>
  </si>
  <si>
    <t>Heute scheint die Sonne den ganzen Tag.</t>
  </si>
  <si>
    <t>Ich mag keine Tiere.</t>
  </si>
  <si>
    <t>Vögel sind schöne Tiere.</t>
  </si>
  <si>
    <t>Ich esse viel Fisch.</t>
  </si>
  <si>
    <t>Ich mag keine Insekten.</t>
  </si>
  <si>
    <t>Mein Sohn spielt mit unserem Hund.</t>
  </si>
  <si>
    <t>Unsere Katze isst ihr Essen.</t>
  </si>
  <si>
    <t>Ich darf kein Schwein essen.</t>
  </si>
  <si>
    <t>Die Kuh gibt Milch.</t>
  </si>
  <si>
    <t>Der Bauer hat viele Schafe.</t>
  </si>
  <si>
    <t>Im Zoo sieht man viele Tiere.</t>
  </si>
  <si>
    <t>Wir haben viele Pflanzen in unserem Garten.</t>
  </si>
  <si>
    <t>Der alte Mann schneidet den Strauch.</t>
  </si>
  <si>
    <t>Der Flieder steht hinten im Garten.</t>
  </si>
  <si>
    <t>In diesem Geschäft kann man Blumen kaufen.</t>
  </si>
  <si>
    <t>Mein Mann hat mir eine rote Rose gegeben.</t>
  </si>
  <si>
    <t>Die Lilie ist eine schöne Blume.</t>
  </si>
  <si>
    <t>Im Wald sind viele Bäume.</t>
  </si>
  <si>
    <t>Eine Landschaft ohne Wald ist langweilig.</t>
  </si>
  <si>
    <t>Der Berg ist zu hoch für uns.</t>
  </si>
  <si>
    <t>Viele Berge sind ein Gebirge.</t>
  </si>
  <si>
    <t>Ein Tal liegt zwischen zwei Bergen.</t>
  </si>
  <si>
    <t>Ich schwimme durch den Fluß.</t>
  </si>
  <si>
    <t>Wir können im See baden.</t>
  </si>
  <si>
    <t>Ein Bach ist ein sehr kleiner Fluß.</t>
  </si>
  <si>
    <t>Wir machen einen Spaziergang im Wald.</t>
  </si>
  <si>
    <t>Die Kinder laufen über die Wiese.</t>
  </si>
  <si>
    <t>Auf dem Feld sind viele Kartoffeln.</t>
  </si>
  <si>
    <t>Im Park kann man schöne Blumen sehen.</t>
  </si>
  <si>
    <t>In der Wüste ist viel Sand.</t>
  </si>
  <si>
    <t>Ich bin allein auf einer Insel.</t>
  </si>
  <si>
    <t>Das Meer ist sehr groß.</t>
  </si>
  <si>
    <t>Werfen sie auch einen Blick auf das Bild.</t>
  </si>
  <si>
    <t>Der Mann wirft einen Stock für seinen Hund.</t>
  </si>
  <si>
    <t>Die ganze Welt lacht über dich.</t>
  </si>
  <si>
    <t>das Land</t>
  </si>
  <si>
    <t>der Kontinent</t>
  </si>
  <si>
    <t>Europa</t>
  </si>
  <si>
    <t>die Schweiz</t>
  </si>
  <si>
    <t>Österreich</t>
  </si>
  <si>
    <t>Belgien</t>
  </si>
  <si>
    <t>die Niederlande</t>
  </si>
  <si>
    <t>die Nationalität</t>
  </si>
  <si>
    <t>das Visum</t>
  </si>
  <si>
    <t>Großbritannien</t>
  </si>
  <si>
    <t>England</t>
  </si>
  <si>
    <t>Frankreich</t>
  </si>
  <si>
    <t>Italien</t>
  </si>
  <si>
    <t>Spanien</t>
  </si>
  <si>
    <t>die Türkei</t>
  </si>
  <si>
    <t>Russland</t>
  </si>
  <si>
    <t>Albanien</t>
  </si>
  <si>
    <t>Serbien</t>
  </si>
  <si>
    <t>der Iran</t>
  </si>
  <si>
    <t>Palästina</t>
  </si>
  <si>
    <t>Syrien</t>
  </si>
  <si>
    <t>Tschetschenien</t>
  </si>
  <si>
    <t>Afghanistan</t>
  </si>
  <si>
    <t>Somalia</t>
  </si>
  <si>
    <t>Pakistan</t>
  </si>
  <si>
    <t>Indien</t>
  </si>
  <si>
    <t>der Europäer/ die Europäerin</t>
  </si>
  <si>
    <t>der Deutsche/ die Deutsche</t>
  </si>
  <si>
    <t>der Österreicher/ die Österreicherin</t>
  </si>
  <si>
    <t>der Schweizer/ die Schweizerin</t>
  </si>
  <si>
    <t>der Belgier/ die Belgierin</t>
  </si>
  <si>
    <t>der Niederländer/ die Niederländerin</t>
  </si>
  <si>
    <t>der Brite/ die Britin</t>
  </si>
  <si>
    <t>der Engländer/ die Engländerin</t>
  </si>
  <si>
    <t>der Franzose/ die Französin</t>
  </si>
  <si>
    <t>der Spanier/ die Spanierin</t>
  </si>
  <si>
    <t>der Italiener/ die Italienerin</t>
  </si>
  <si>
    <t>der Türke/ die Türkin</t>
  </si>
  <si>
    <t>der Russe/ die Russin</t>
  </si>
  <si>
    <t>der Albaner/ die Albanerin</t>
  </si>
  <si>
    <t>der Serbe/ die Serbin</t>
  </si>
  <si>
    <t>der Iraner/ die Iranerin</t>
  </si>
  <si>
    <t>der Palästinenser/ die Palästinenserin</t>
  </si>
  <si>
    <t>der Syrer/ die Syrerin</t>
  </si>
  <si>
    <t>der Tschetschene/ die Tschetschenin</t>
  </si>
  <si>
    <t>der Afghane/ die Afghanin</t>
  </si>
  <si>
    <t>der Somalier/ die Somalierin</t>
  </si>
  <si>
    <t>der Pakistani/ die Pakistani</t>
  </si>
  <si>
    <t>der Inder/ die Inderin</t>
  </si>
  <si>
    <t>europäisch</t>
  </si>
  <si>
    <t>österreichisch</t>
  </si>
  <si>
    <t>schweizer</t>
  </si>
  <si>
    <t>belgisch</t>
  </si>
  <si>
    <t>niederländisch</t>
  </si>
  <si>
    <t>britisch</t>
  </si>
  <si>
    <t>englisch</t>
  </si>
  <si>
    <t>französisch</t>
  </si>
  <si>
    <t>italienisch</t>
  </si>
  <si>
    <t>spanisch</t>
  </si>
  <si>
    <t>türkisch</t>
  </si>
  <si>
    <t>russisch</t>
  </si>
  <si>
    <t>albanisch</t>
  </si>
  <si>
    <t>serbisch</t>
  </si>
  <si>
    <t>iranisch</t>
  </si>
  <si>
    <t>palästinensisch</t>
  </si>
  <si>
    <t>syrisch</t>
  </si>
  <si>
    <t>tschetschenisch</t>
  </si>
  <si>
    <t>afghanisch</t>
  </si>
  <si>
    <t>somalisch</t>
  </si>
  <si>
    <t>pakistanisch</t>
  </si>
  <si>
    <t>indisch</t>
  </si>
  <si>
    <t>international</t>
  </si>
  <si>
    <t>Aus welchem Land kommst du?</t>
  </si>
  <si>
    <t>Auf welchem Kontinent liegt Deutschland?</t>
  </si>
  <si>
    <t>Deutschland ist ein Land in Europa.</t>
  </si>
  <si>
    <t>Die Schweiz liegt neben Deutschland.</t>
  </si>
  <si>
    <t>Österreich ist ein Nachbar von Deutschland.</t>
  </si>
  <si>
    <t>In Belgien spricht man kein deutsch.</t>
  </si>
  <si>
    <t>In den Niederlanden wird kein deutsch gesprochen.</t>
  </si>
  <si>
    <t>Hier sind Menschen mit verschiedener Nationalität.</t>
  </si>
  <si>
    <t>Ich brauche ein Visum um hier zu arbeiten.</t>
  </si>
  <si>
    <t>In Großbritannien gibt es viel Regen.</t>
  </si>
  <si>
    <t>Die Hauptstadt von England ist London.</t>
  </si>
  <si>
    <t>In Frankreich essen die Menschen sehr lange.</t>
  </si>
  <si>
    <t>In Italien gibt es immer Pizza.</t>
  </si>
  <si>
    <t>In Spanien ist es sehr heiß.</t>
  </si>
  <si>
    <t>In Deutschland wohnen viele Menschen aus der Türkei.</t>
  </si>
  <si>
    <t>In Russland spricht man russisch.</t>
  </si>
  <si>
    <t>Ich komme aus Albanien.</t>
  </si>
  <si>
    <t>Ich komme nicht aus Serbien.</t>
  </si>
  <si>
    <t>Wer kommt hier aus dem Iran?</t>
  </si>
  <si>
    <t>In Palästina gibt es gutes Essen.</t>
  </si>
  <si>
    <t>Ich möchte nicht nach Syrien zurück.</t>
  </si>
  <si>
    <t>Tschetschenien liegt in Russland.</t>
  </si>
  <si>
    <t>Afghanistan liegt nicht in Europa.</t>
  </si>
  <si>
    <t>Die Frauen kommen aus Somalien.</t>
  </si>
  <si>
    <t>In Pakistan kann man nicht mit Euros bezahlen.</t>
  </si>
  <si>
    <t>In Indien sprechen viele Menschen englisch.</t>
  </si>
  <si>
    <t>Die Europäer sind sehr reich.</t>
  </si>
  <si>
    <t>Ich mag die Deutschen.</t>
  </si>
  <si>
    <t>Ich mag die Österreicher nicht.</t>
  </si>
  <si>
    <t>Die Schweizer machen viel Schokolade.</t>
  </si>
  <si>
    <t>Der Belgier isst gerne Pommes Frites.</t>
  </si>
  <si>
    <t>Der Niederländer isst gerne Käse.</t>
  </si>
  <si>
    <t>Der Brite spielt schlecht Fußball.</t>
  </si>
  <si>
    <t>Die Engländer wohnen auf einer Insel.</t>
  </si>
  <si>
    <t>Der Franzose reist gerne.</t>
  </si>
  <si>
    <t>Die Spanier sind gut im Fußball.</t>
  </si>
  <si>
    <t>Die Italiener kochen gut.</t>
  </si>
  <si>
    <t>Die Türken können gut tanzen.</t>
  </si>
  <si>
    <t>Viele Russen spielen gut Schach.</t>
  </si>
  <si>
    <t>Ich bin kein Albaner.</t>
  </si>
  <si>
    <t>Die Serben sind Europäer.</t>
  </si>
  <si>
    <t>Ich kenne viele Iraner.</t>
  </si>
  <si>
    <t>Er kennt keine Palästinenser.</t>
  </si>
  <si>
    <t>In meiner Firma arbeitet ein Syrer.</t>
  </si>
  <si>
    <t>Meine Mutter ist Tschetschenin.</t>
  </si>
  <si>
    <t>Die Afghanen sind gut in der Schule.</t>
  </si>
  <si>
    <t>Die Somalierinnen möchten deutsch lernen.</t>
  </si>
  <si>
    <t>Die Pakistanis gehen zum Bahnhof.</t>
  </si>
  <si>
    <t>Der Inder verkauft gute Computer.</t>
  </si>
  <si>
    <t>Du siehst europäisch aus.</t>
  </si>
  <si>
    <t>Das ist sehr deutsch.</t>
  </si>
  <si>
    <t>Ich spreche österreichisch.</t>
  </si>
  <si>
    <t>Das ist schweizer Schokolade.</t>
  </si>
  <si>
    <t>Das ist ein belgisches Wort.</t>
  </si>
  <si>
    <t>Ich esse gerne niederländischen Käse.</t>
  </si>
  <si>
    <t>Das ist eine britische Firma.</t>
  </si>
  <si>
    <t>Ich spreche kein Englisch.</t>
  </si>
  <si>
    <t>Ich verstehe leider kein französisch.</t>
  </si>
  <si>
    <t>Das italienische Essen schmeckt sehr gut.</t>
  </si>
  <si>
    <t>Die spanischen Weine sind die besten.</t>
  </si>
  <si>
    <t>Ich habe einen türkischen Mann.</t>
  </si>
  <si>
    <t>Das ist ein deutsch russisches Wörterbuch.</t>
  </si>
  <si>
    <t>Was heißt das auf albanisch?</t>
  </si>
  <si>
    <t>Wir lernen serbisch in der Schule.</t>
  </si>
  <si>
    <t>Ich glaube das ist iranisch.</t>
  </si>
  <si>
    <t>Das sind palästinensische Frauen.</t>
  </si>
  <si>
    <t>Das ist syrisches Obst.</t>
  </si>
  <si>
    <t>Sprichst du tschetschenisch?</t>
  </si>
  <si>
    <t>Die afghanischen Menschen sind sehr freundlich.</t>
  </si>
  <si>
    <t>Was heißt Käse auf somalisch?</t>
  </si>
  <si>
    <t>Das pakistanische Essen ist sehr scharf.</t>
  </si>
  <si>
    <t>Die indischen Männer arbeiten sehr viel.</t>
  </si>
  <si>
    <t>Deutschland ist sehr international.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</si>
</sst>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29"/>
    <col customWidth="1" min="2" max="25" width="10.71"/>
  </cols>
  <sheetData>
    <row r="1">
      <c r="A1" s="1" t="s">
        <v>0</v>
      </c>
      <c r="B1" s="2" t="str">
        <f>IFERROR(__xludf.DUMMYFUNCTION("GOOGLETRANSLATE(A1, ""de"", ""uk"")"),"заповнити")</f>
        <v>заповнити</v>
      </c>
    </row>
    <row r="2">
      <c r="A2" s="1" t="s">
        <v>1</v>
      </c>
      <c r="B2" s="2" t="str">
        <f>IFERROR(__xludf.DUMMYFUNCTION("GOOGLETRANSLATE(A2, ""de"", ""uk"")"),"називатися")</f>
        <v>називатися</v>
      </c>
    </row>
    <row r="3">
      <c r="A3" s="1" t="s">
        <v>2</v>
      </c>
      <c r="B3" s="2" t="str">
        <f>IFERROR(__xludf.DUMMYFUNCTION("GOOGLETRANSLATE(A3, ""de"", ""uk"")"),"знак")</f>
        <v>знак</v>
      </c>
    </row>
    <row r="4">
      <c r="A4" s="1" t="s">
        <v>3</v>
      </c>
      <c r="B4" s="2" t="str">
        <f>IFERROR(__xludf.DUMMYFUNCTION("GOOGLETRANSLATE(A4, ""de"", ""uk"")"),"одружуватися")</f>
        <v>одружуватися</v>
      </c>
    </row>
    <row r="5">
      <c r="A5" s="1" t="s">
        <v>4</v>
      </c>
      <c r="B5" s="2" t="str">
        <f>IFERROR(__xludf.DUMMYFUNCTION("GOOGLETRANSLATE(A5, ""de"", ""uk"")"),"відвідати")</f>
        <v>відвідати</v>
      </c>
    </row>
    <row r="6">
      <c r="A6" s="1" t="s">
        <v>5</v>
      </c>
      <c r="B6" s="2" t="str">
        <f>IFERROR(__xludf.DUMMYFUNCTION("GOOGLETRANSLATE(A6, ""de"", ""uk"")"),"вітати")</f>
        <v>вітати</v>
      </c>
    </row>
    <row r="7">
      <c r="A7" s="1" t="s">
        <v>6</v>
      </c>
      <c r="B7" s="2" t="str">
        <f>IFERROR(__xludf.DUMMYFUNCTION("GOOGLETRANSLATE(A7, ""de"", ""uk"")"),"привітати")</f>
        <v>привітати</v>
      </c>
    </row>
    <row r="8">
      <c r="A8" s="1" t="s">
        <v>7</v>
      </c>
      <c r="B8" s="2" t="str">
        <f>IFERROR(__xludf.DUMMYFUNCTION("GOOGLETRANSLATE(A8, ""de"", ""uk"")"),"дякую")</f>
        <v>дякую</v>
      </c>
    </row>
    <row r="9">
      <c r="A9" s="1" t="s">
        <v>8</v>
      </c>
      <c r="B9" s="2" t="str">
        <f>IFERROR(__xludf.DUMMYFUNCTION("GOOGLETRANSLATE(A9, ""de"", ""uk"")"),"прийти")</f>
        <v>прийти</v>
      </c>
    </row>
    <row r="10">
      <c r="A10" s="1" t="s">
        <v>9</v>
      </c>
      <c r="B10" s="2" t="str">
        <f>IFERROR(__xludf.DUMMYFUNCTION("GOOGLETRANSLATE(A10, ""de"", ""uk"")"),"допомогти")</f>
        <v>допомогти</v>
      </c>
    </row>
    <row r="11">
      <c r="A11" s="1" t="s">
        <v>10</v>
      </c>
      <c r="B11" s="2" t="str">
        <f>IFERROR(__xludf.DUMMYFUNCTION("GOOGLETRANSLATE(A11, ""de"", ""uk"")"),"зрозуміти")</f>
        <v>зрозуміти</v>
      </c>
    </row>
    <row r="12">
      <c r="A12" s="1" t="s">
        <v>11</v>
      </c>
      <c r="B12" s="2" t="str">
        <f>IFERROR(__xludf.DUMMYFUNCTION("GOOGLETRANSLATE(A12, ""de"", ""uk"")"),"говорити")</f>
        <v>говорити</v>
      </c>
    </row>
    <row r="13">
      <c r="A13" s="1" t="s">
        <v>12</v>
      </c>
      <c r="B13" s="2" t="str">
        <f>IFERROR(__xludf.DUMMYFUNCTION("GOOGLETRANSLATE(A13, ""de"", ""uk"")"),"запишіть")</f>
        <v>запишіть</v>
      </c>
    </row>
    <row r="14">
      <c r="A14" s="1" t="s">
        <v>13</v>
      </c>
      <c r="B14" s="2" t="str">
        <f>IFERROR(__xludf.DUMMYFUNCTION("GOOGLETRANSLATE(A14, ""de"", ""uk"")"),"вибачте")</f>
        <v>вибачте</v>
      </c>
    </row>
    <row r="15">
      <c r="A15" s="1" t="s">
        <v>14</v>
      </c>
      <c r="B15" s="2" t="str">
        <f>IFERROR(__xludf.DUMMYFUNCTION("GOOGLETRANSLATE(A15, ""de"", ""uk"")"),"познайомитися")</f>
        <v>познайомитися</v>
      </c>
    </row>
    <row r="16">
      <c r="A16" s="1" t="s">
        <v>15</v>
      </c>
      <c r="B16" s="2" t="str">
        <f>IFERROR(__xludf.DUMMYFUNCTION("GOOGLETRANSLATE(A16, ""de"", ""uk"")"),"бути")</f>
        <v>бути</v>
      </c>
    </row>
    <row r="17">
      <c r="A17" s="1" t="s">
        <v>16</v>
      </c>
      <c r="B17" s="2" t="str">
        <f>IFERROR(__xludf.DUMMYFUNCTION("GOOGLETRANSLATE(A17, ""de"", ""uk"")"),"уявіть собі")</f>
        <v>уявіть собі</v>
      </c>
    </row>
    <row r="18">
      <c r="A18" s="1" t="s">
        <v>17</v>
      </c>
      <c r="B18" s="2" t="str">
        <f>IFERROR(__xludf.DUMMYFUNCTION("GOOGLETRANSLATE(A18, ""de"", ""uk"")"),"проживати")</f>
        <v>проживати</v>
      </c>
    </row>
    <row r="19">
      <c r="A19" s="1" t="s">
        <v>18</v>
      </c>
      <c r="B19" s="2" t="str">
        <f>IFERROR(__xludf.DUMMYFUNCTION("GOOGLETRANSLATE(A19, ""de"", ""uk"")"),"мати")</f>
        <v>мати</v>
      </c>
    </row>
    <row r="20">
      <c r="A20" s="1" t="s">
        <v>19</v>
      </c>
      <c r="B20" s="2" t="str">
        <f>IFERROR(__xludf.DUMMYFUNCTION("GOOGLETRANSLATE(A20, ""de"", ""uk"")"),"сказати")</f>
        <v>сказати</v>
      </c>
    </row>
    <row r="21" ht="15.75" customHeight="1">
      <c r="A21" s="1" t="s">
        <v>20</v>
      </c>
      <c r="B21" s="2" t="str">
        <f>IFERROR(__xludf.DUMMYFUNCTION("GOOGLETRANSLATE(A21, ""de"", ""uk"")"),"чоловічого роду")</f>
        <v>чоловічого роду</v>
      </c>
    </row>
    <row r="22" ht="15.75" customHeight="1">
      <c r="A22" s="1" t="s">
        <v>21</v>
      </c>
      <c r="B22" s="2" t="str">
        <f>IFERROR(__xludf.DUMMYFUNCTION("GOOGLETRANSLATE(A22, ""de"", ""uk"")"),"жіноча")</f>
        <v>жіноча</v>
      </c>
    </row>
    <row r="23" ht="15.75" customHeight="1">
      <c r="A23" s="1" t="s">
        <v>22</v>
      </c>
      <c r="B23" s="2" t="str">
        <f>IFERROR(__xludf.DUMMYFUNCTION("GOOGLETRANSLATE(A23, ""de"", ""uk"")"),"неодружений")</f>
        <v>неодружений</v>
      </c>
    </row>
    <row r="24" ht="15.75" customHeight="1">
      <c r="A24" s="1" t="s">
        <v>23</v>
      </c>
      <c r="B24" s="2" t="str">
        <f>IFERROR(__xludf.DUMMYFUNCTION("GOOGLETRANSLATE(A24, ""de"", ""uk"")"),"одружений")</f>
        <v>одружений</v>
      </c>
    </row>
    <row r="25" ht="15.75" customHeight="1">
      <c r="A25" s="1" t="s">
        <v>24</v>
      </c>
      <c r="B25" s="2" t="str">
        <f>IFERROR(__xludf.DUMMYFUNCTION("GOOGLETRANSLATE(A25, ""de"", ""uk"")"),"розлучений")</f>
        <v>розлучений</v>
      </c>
    </row>
    <row r="26" ht="15.75" customHeight="1">
      <c r="A26" s="1" t="s">
        <v>25</v>
      </c>
      <c r="B26" s="2" t="str">
        <f>IFERROR(__xludf.DUMMYFUNCTION("GOOGLETRANSLATE(A26, ""de"", ""uk"")"),"овдовіла")</f>
        <v>овдовіла</v>
      </c>
    </row>
    <row r="27" ht="15.75" customHeight="1">
      <c r="A27" s="1" t="s">
        <v>26</v>
      </c>
      <c r="B27" s="2" t="str">
        <f>IFERROR(__xludf.DUMMYFUNCTION("GOOGLETRANSLATE(A27, ""de"", ""uk"")"),"добре")</f>
        <v>добре</v>
      </c>
    </row>
    <row r="28" ht="15.75" customHeight="1">
      <c r="A28" s="1" t="s">
        <v>27</v>
      </c>
      <c r="B28" s="2" t="str">
        <f>IFERROR(__xludf.DUMMYFUNCTION("GOOGLETRANSLATE(A28, ""de"", ""uk"")"),"погано")</f>
        <v>погано</v>
      </c>
    </row>
    <row r="29" ht="15.75" customHeight="1">
      <c r="A29" s="1" t="s">
        <v>28</v>
      </c>
      <c r="B29" s="2" t="str">
        <f>IFERROR(__xludf.DUMMYFUNCTION("GOOGLETRANSLATE(A29, ""de"", ""uk"")"),"приватний")</f>
        <v>приватний</v>
      </c>
    </row>
    <row r="30" ht="15.75" customHeight="1">
      <c r="A30" s="1" t="s">
        <v>29</v>
      </c>
      <c r="B30" s="2" t="str">
        <f>IFERROR(__xludf.DUMMYFUNCTION("GOOGLETRANSLATE(A30, ""de"", ""uk"")"),"Німецький")</f>
        <v>Німецький</v>
      </c>
    </row>
    <row r="31" ht="15.75" customHeight="1">
      <c r="A31" s="1" t="s">
        <v>30</v>
      </c>
      <c r="B31" s="2" t="str">
        <f>IFERROR(__xludf.DUMMYFUNCTION("GOOGLETRANSLATE(A31, ""de"", ""uk"")"),"трохи")</f>
        <v>трохи</v>
      </c>
    </row>
    <row r="32" ht="15.75" customHeight="1">
      <c r="A32" s="1" t="s">
        <v>31</v>
      </c>
      <c r="B32" s="2" t="str">
        <f>IFERROR(__xludf.DUMMYFUNCTION("GOOGLETRANSLATE(A32, ""de"", ""uk"")"),"приємно")</f>
        <v>приємно</v>
      </c>
    </row>
    <row r="33" ht="15.75" customHeight="1">
      <c r="A33" s="1" t="s">
        <v>32</v>
      </c>
      <c r="B33" s="2" t="str">
        <f>IFERROR(__xludf.DUMMYFUNCTION("GOOGLETRANSLATE(A33, ""de"", ""uk"")"),"Привіт")</f>
        <v>Привіт</v>
      </c>
    </row>
    <row r="34" ht="15.75" customHeight="1">
      <c r="A34" s="1" t="s">
        <v>33</v>
      </c>
      <c r="B34" s="2" t="str">
        <f>IFERROR(__xludf.DUMMYFUNCTION("GOOGLETRANSLATE(A34, ""de"", ""uk"")"),"добрий день")</f>
        <v>добрий день</v>
      </c>
    </row>
    <row r="35" ht="15.75" customHeight="1">
      <c r="A35" s="1" t="s">
        <v>34</v>
      </c>
      <c r="B35" s="2" t="str">
        <f>IFERROR(__xludf.DUMMYFUNCTION("GOOGLETRANSLATE(A35, ""de"", ""uk"")"),"Вітаю")</f>
        <v>Вітаю</v>
      </c>
    </row>
    <row r="36" ht="15.75" customHeight="1">
      <c r="A36" s="1" t="s">
        <v>35</v>
      </c>
      <c r="B36" s="2" t="str">
        <f>IFERROR(__xludf.DUMMYFUNCTION("GOOGLETRANSLATE(A36, ""de"", ""uk"")"),"будь ласка")</f>
        <v>будь ласка</v>
      </c>
    </row>
    <row r="37" ht="15.75" customHeight="1">
      <c r="A37" s="1" t="s">
        <v>36</v>
      </c>
      <c r="B37" s="2" t="str">
        <f>IFERROR(__xludf.DUMMYFUNCTION("GOOGLETRANSLATE(A37, ""de"", ""uk"")"),"дякую")</f>
        <v>дякую</v>
      </c>
    </row>
    <row r="38" ht="15.75" customHeight="1">
      <c r="A38" s="1" t="s">
        <v>37</v>
      </c>
      <c r="B38" s="2" t="str">
        <f>IFERROR(__xludf.DUMMYFUNCTION("GOOGLETRANSLATE(A38, ""de"", ""uk"")"),"до побачення")</f>
        <v>до побачення</v>
      </c>
    </row>
    <row r="39" ht="15.75" customHeight="1">
      <c r="A39" s="1" t="s">
        <v>38</v>
      </c>
      <c r="B39" s="2" t="str">
        <f>IFERROR(__xludf.DUMMYFUNCTION("GOOGLETRANSLATE(A39, ""de"", ""uk"")"),"до побачення")</f>
        <v>до побачення</v>
      </c>
    </row>
    <row r="40" ht="15.75" customHeight="1">
      <c r="A40" s="1" t="s">
        <v>39</v>
      </c>
      <c r="B40" s="2" t="str">
        <f>IFERROR(__xludf.DUMMYFUNCTION("GOOGLETRANSLATE(A40, ""de"", ""uk"")"),"так")</f>
        <v>так</v>
      </c>
    </row>
    <row r="41" ht="15.75" customHeight="1">
      <c r="A41" s="1" t="s">
        <v>40</v>
      </c>
      <c r="B41" s="2" t="str">
        <f>IFERROR(__xludf.DUMMYFUNCTION("GOOGLETRANSLATE(A41, ""de"", ""uk"")"),"немає")</f>
        <v>немає</v>
      </c>
    </row>
    <row r="42" ht="15.75" customHeight="1">
      <c r="A42" s="1" t="s">
        <v>41</v>
      </c>
      <c r="B42" s="2" t="str">
        <f>IFERROR(__xludf.DUMMYFUNCTION("GOOGLETRANSLATE(A42, ""de"", ""uk"")"),"вибач мене")</f>
        <v>вибач мене</v>
      </c>
    </row>
    <row r="43" ht="15.75" customHeight="1">
      <c r="A43" s="1" t="s">
        <v>42</v>
      </c>
      <c r="B43" s="2" t="str">
        <f>IFERROR(__xludf.DUMMYFUNCTION("GOOGLETRANSLATE(A43, ""de"", ""uk"")"),"Ласкаво просимо")</f>
        <v>Ласкаво просимо</v>
      </c>
    </row>
    <row r="44" ht="15.75" customHeight="1">
      <c r="A44" s="1" t="s">
        <v>43</v>
      </c>
      <c r="B44" s="2" t="str">
        <f>IFERROR(__xludf.DUMMYFUNCTION("GOOGLETRANSLATE(A44, ""de"", ""uk"")"),"також")</f>
        <v>також</v>
      </c>
    </row>
    <row r="45" ht="15.75" customHeight="1">
      <c r="A45" s="1" t="s">
        <v>44</v>
      </c>
      <c r="B45" s="2" t="str">
        <f>IFERROR(__xludf.DUMMYFUNCTION("GOOGLETRANSLATE(A45, ""de"", ""uk"")"),"і")</f>
        <v>і</v>
      </c>
    </row>
    <row r="46" ht="15.75" customHeight="1">
      <c r="A46" s="1" t="s">
        <v>45</v>
      </c>
      <c r="B46" s="2" t="str">
        <f>IFERROR(__xludf.DUMMYFUNCTION("GOOGLETRANSLATE(A46, ""de"", ""uk"")"),"ВООЗ")</f>
        <v>ВООЗ</v>
      </c>
    </row>
    <row r="47" ht="15.75" customHeight="1">
      <c r="A47" s="1" t="s">
        <v>46</v>
      </c>
      <c r="B47" s="2" t="str">
        <f>IFERROR(__xludf.DUMMYFUNCTION("GOOGLETRANSLATE(A47, ""de"", ""uk"")"),"Що")</f>
        <v>Що</v>
      </c>
    </row>
    <row r="48" ht="15.75" customHeight="1">
      <c r="A48" s="1" t="s">
        <v>47</v>
      </c>
      <c r="B48" s="2" t="str">
        <f>IFERROR(__xludf.DUMMYFUNCTION("GOOGLETRANSLATE(A48, ""de"", ""uk"")"),"звідки")</f>
        <v>звідки</v>
      </c>
    </row>
    <row r="49" ht="15.75" customHeight="1">
      <c r="A49" s="1" t="s">
        <v>48</v>
      </c>
      <c r="B49" s="2" t="str">
        <f>IFERROR(__xludf.DUMMYFUNCTION("GOOGLETRANSLATE(A49, ""de"", ""uk"")"),"який")</f>
        <v>який</v>
      </c>
    </row>
    <row r="50" ht="15.75" customHeight="1">
      <c r="A50" s="1" t="s">
        <v>49</v>
      </c>
      <c r="B50" s="2" t="str">
        <f>IFERROR(__xludf.DUMMYFUNCTION("GOOGLETRANSLATE(A50, ""de"", ""uk"")"),"як")</f>
        <v>як</v>
      </c>
    </row>
    <row r="51" ht="15.75" customHeight="1">
      <c r="A51" s="1" t="s">
        <v>50</v>
      </c>
      <c r="B51" s="2" t="str">
        <f>IFERROR(__xludf.DUMMYFUNCTION("GOOGLETRANSLATE(A51, ""de"", ""uk"")"),"адресу")</f>
        <v>адресу</v>
      </c>
    </row>
    <row r="52" ht="15.75" customHeight="1">
      <c r="A52" s="1" t="s">
        <v>51</v>
      </c>
      <c r="B52" s="2" t="str">
        <f>IFERROR(__xludf.DUMMYFUNCTION("GOOGLETRANSLATE(A52, ""de"", ""uk"")"),"ім'я")</f>
        <v>ім'я</v>
      </c>
    </row>
    <row r="53" ht="15.75" customHeight="1">
      <c r="A53" s="1" t="s">
        <v>52</v>
      </c>
      <c r="B53" s="2" t="str">
        <f>IFERROR(__xludf.DUMMYFUNCTION("GOOGLETRANSLATE(A53, ""de"", ""uk"")"),"ім'я")</f>
        <v>ім'я</v>
      </c>
    </row>
    <row r="54" ht="15.75" customHeight="1">
      <c r="A54" s="1" t="s">
        <v>53</v>
      </c>
      <c r="B54" s="2" t="str">
        <f>IFERROR(__xludf.DUMMYFUNCTION("GOOGLETRANSLATE(A54, ""de"", ""uk"")"),"прізвище")</f>
        <v>прізвище</v>
      </c>
    </row>
    <row r="55" ht="15.75" customHeight="1">
      <c r="A55" s="1" t="s">
        <v>54</v>
      </c>
      <c r="B55" s="2" t="str">
        <f>IFERROR(__xludf.DUMMYFUNCTION("GOOGLETRANSLATE(A55, ""de"", ""uk"")"),"вулиця")</f>
        <v>вулиця</v>
      </c>
    </row>
    <row r="56" ht="15.75" customHeight="1">
      <c r="A56" s="1" t="s">
        <v>55</v>
      </c>
      <c r="B56" s="2" t="str">
        <f>IFERROR(__xludf.DUMMYFUNCTION("GOOGLETRANSLATE(A56, ""de"", ""uk"")"),"номер будинку")</f>
        <v>номер будинку</v>
      </c>
    </row>
    <row r="57" ht="15.75" customHeight="1">
      <c r="A57" s="1" t="s">
        <v>56</v>
      </c>
      <c r="B57" s="2" t="str">
        <f>IFERROR(__xludf.DUMMYFUNCTION("GOOGLETRANSLATE(A57, ""de"", ""uk"")"),"місце")</f>
        <v>місце</v>
      </c>
    </row>
    <row r="58" ht="15.75" customHeight="1">
      <c r="A58" s="1" t="s">
        <v>57</v>
      </c>
      <c r="B58" s="2" t="str">
        <f>IFERROR(__xludf.DUMMYFUNCTION("GOOGLETRANSLATE(A58, ""de"", ""uk"")"),"поштовий індекс")</f>
        <v>поштовий індекс</v>
      </c>
    </row>
    <row r="59" ht="15.75" customHeight="1">
      <c r="A59" s="1" t="s">
        <v>58</v>
      </c>
      <c r="B59" s="2" t="str">
        <f>IFERROR(__xludf.DUMMYFUNCTION("GOOGLETRANSLATE(A59, ""de"", ""uk"")"),"місце народження")</f>
        <v>місце народження</v>
      </c>
    </row>
    <row r="60" ht="15.75" customHeight="1">
      <c r="A60" s="1" t="s">
        <v>59</v>
      </c>
      <c r="B60" s="2" t="str">
        <f>IFERROR(__xludf.DUMMYFUNCTION("GOOGLETRANSLATE(A60, ""de"", ""uk"")"),"рік народження")</f>
        <v>рік народження</v>
      </c>
    </row>
    <row r="61" ht="15.75" customHeight="1">
      <c r="A61" s="1" t="s">
        <v>60</v>
      </c>
      <c r="B61" s="2" t="str">
        <f>IFERROR(__xludf.DUMMYFUNCTION("GOOGLETRANSLATE(A61, ""de"", ""uk"")"),"дата народження")</f>
        <v>дата народження</v>
      </c>
    </row>
    <row r="62" ht="15.75" customHeight="1">
      <c r="A62" s="1" t="s">
        <v>61</v>
      </c>
      <c r="B62" s="2" t="str">
        <f>IFERROR(__xludf.DUMMYFUNCTION("GOOGLETRANSLATE(A62, ""de"", ""uk"")"),"форму")</f>
        <v>форму</v>
      </c>
    </row>
    <row r="63" ht="15.75" customHeight="1">
      <c r="A63" s="1" t="s">
        <v>62</v>
      </c>
      <c r="B63" s="2" t="str">
        <f>IFERROR(__xludf.DUMMYFUNCTION("GOOGLETRANSLATE(A63, ""de"", ""uk"")"),"вік")</f>
        <v>вік</v>
      </c>
    </row>
    <row r="64" ht="15.75" customHeight="1">
      <c r="A64" s="1" t="s">
        <v>63</v>
      </c>
      <c r="B64" s="2" t="str">
        <f>IFERROR(__xludf.DUMMYFUNCTION("GOOGLETRANSLATE(A64, ""de"", ""uk"")"),"підпис")</f>
        <v>підпис</v>
      </c>
    </row>
    <row r="65" ht="15.75" customHeight="1">
      <c r="A65" s="1" t="s">
        <v>64</v>
      </c>
      <c r="B65" s="2" t="str">
        <f>IFERROR(__xludf.DUMMYFUNCTION("GOOGLETRANSLATE(A65, ""de"", ""uk"")"),"сімейний стан")</f>
        <v>сімейний стан</v>
      </c>
    </row>
    <row r="66" ht="15.75" customHeight="1">
      <c r="A66" s="1" t="s">
        <v>65</v>
      </c>
      <c r="B66" s="2" t="str">
        <f>IFERROR(__xludf.DUMMYFUNCTION("GOOGLETRANSLATE(A66, ""de"", ""uk"")"),"документи")</f>
        <v>документи</v>
      </c>
    </row>
    <row r="67" ht="15.75" customHeight="1">
      <c r="A67" s="1" t="s">
        <v>66</v>
      </c>
      <c r="B67" s="2" t="str">
        <f>IFERROR(__xludf.DUMMYFUNCTION("GOOGLETRANSLATE(A67, ""de"", ""uk"")"),"посвідчення особи")</f>
        <v>посвідчення особи</v>
      </c>
    </row>
    <row r="68" ht="15.75" customHeight="1">
      <c r="A68" s="1" t="s">
        <v>67</v>
      </c>
      <c r="B68" s="2" t="str">
        <f>IFERROR(__xludf.DUMMYFUNCTION("GOOGLETRANSLATE(A68, ""de"", ""uk"")"),"паспорт")</f>
        <v>паспорт</v>
      </c>
    </row>
    <row r="69" ht="15.75" customHeight="1">
      <c r="A69" s="1" t="s">
        <v>68</v>
      </c>
      <c r="B69" s="2" t="str">
        <f>IFERROR(__xludf.DUMMYFUNCTION("GOOGLETRANSLATE(A69, ""de"", ""uk"")"),"день народження")</f>
        <v>день народження</v>
      </c>
    </row>
    <row r="70" ht="15.75" customHeight="1">
      <c r="A70" s="1" t="s">
        <v>69</v>
      </c>
      <c r="B70" s="2" t="str">
        <f>IFERROR(__xludf.DUMMYFUNCTION("GOOGLETRANSLATE(A70, ""de"", ""uk"")"),"запрошення")</f>
        <v>запрошення</v>
      </c>
    </row>
    <row r="71" ht="15.75" customHeight="1">
      <c r="A71" s="1" t="s">
        <v>70</v>
      </c>
      <c r="B71" s="2" t="str">
        <f>IFERROR(__xludf.DUMMYFUNCTION("GOOGLETRANSLATE(A71, ""de"", ""uk"")"),"торт")</f>
        <v>торт</v>
      </c>
    </row>
    <row r="72" ht="15.75" customHeight="1">
      <c r="A72" s="1" t="s">
        <v>71</v>
      </c>
      <c r="B72" s="2" t="str">
        <f>IFERROR(__xludf.DUMMYFUNCTION("GOOGLETRANSLATE(A72, ""de"", ""uk"")"),"подарунок")</f>
        <v>подарунок</v>
      </c>
    </row>
    <row r="73" ht="15.75" customHeight="1">
      <c r="A73" s="1" t="s">
        <v>72</v>
      </c>
      <c r="B73" s="2" t="str">
        <f>IFERROR(__xludf.DUMMYFUNCTION("GOOGLETRANSLATE(A73, ""de"", ""uk"")"),"гість")</f>
        <v>гість</v>
      </c>
    </row>
    <row r="74" ht="15.75" customHeight="1">
      <c r="A74" s="1" t="s">
        <v>73</v>
      </c>
      <c r="B74" s="2" t="str">
        <f>IFERROR(__xludf.DUMMYFUNCTION("GOOGLETRANSLATE(A74, ""de"", ""uk"")"),"жінка")</f>
        <v>жінка</v>
      </c>
    </row>
    <row r="75" ht="15.75" customHeight="1">
      <c r="A75" s="1" t="s">
        <v>74</v>
      </c>
      <c r="B75" s="2" t="str">
        <f>IFERROR(__xludf.DUMMYFUNCTION("GOOGLETRANSLATE(A75, ""de"", ""uk"")"),"чоловік")</f>
        <v>чоловік</v>
      </c>
    </row>
    <row r="76" ht="15.75" customHeight="1">
      <c r="A76" s="1" t="s">
        <v>75</v>
      </c>
      <c r="B76" s="2" t="str">
        <f>IFERROR(__xludf.DUMMYFUNCTION("GOOGLETRANSLATE(A76, ""de"", ""uk"")"),"молоді")</f>
        <v>молоді</v>
      </c>
    </row>
    <row r="77" ht="15.75" customHeight="1">
      <c r="A77" s="1" t="s">
        <v>76</v>
      </c>
      <c r="B77" s="2" t="str">
        <f>IFERROR(__xludf.DUMMYFUNCTION("GOOGLETRANSLATE(A77, ""de"", ""uk"")"),"дівчина")</f>
        <v>дівчина</v>
      </c>
    </row>
    <row r="78" ht="15.75" customHeight="1">
      <c r="A78" s="1" t="s">
        <v>77</v>
      </c>
      <c r="B78" s="2" t="str">
        <f>IFERROR(__xludf.DUMMYFUNCTION("GOOGLETRANSLATE(A78, ""de"", ""uk"")"),"дитина")</f>
        <v>дитина</v>
      </c>
    </row>
    <row r="79" ht="15.75" customHeight="1">
      <c r="A79" s="1" t="s">
        <v>78</v>
      </c>
      <c r="B79" s="2" t="str">
        <f>IFERROR(__xludf.DUMMYFUNCTION("GOOGLETRANSLATE(A79, ""de"", ""uk"")"),"номер мобільного телефону")</f>
        <v>номер мобільного телефону</v>
      </c>
    </row>
    <row r="80" ht="15.75" customHeight="1">
      <c r="A80" s="1" t="s">
        <v>79</v>
      </c>
      <c r="B80" s="2" t="str">
        <f>IFERROR(__xludf.DUMMYFUNCTION("GOOGLETRANSLATE(A80, ""de"", ""uk"")"),"номер")</f>
        <v>номер</v>
      </c>
    </row>
    <row r="81" ht="15.75" customHeight="1">
      <c r="A81" s="1" t="s">
        <v>80</v>
      </c>
      <c r="B81" s="2" t="str">
        <f>IFERROR(__xludf.DUMMYFUNCTION("GOOGLETRANSLATE(A81, ""de"", ""uk"")"),"алфавіт")</f>
        <v>алфавіт</v>
      </c>
    </row>
    <row r="82" ht="15.75" customHeight="1">
      <c r="A82" s="1" t="s">
        <v>81</v>
      </c>
      <c r="B82" s="2" t="str">
        <f>IFERROR(__xludf.DUMMYFUNCTION("GOOGLETRANSLATE(A82, ""de"", ""uk"")"),"стаття")</f>
        <v>стаття</v>
      </c>
    </row>
    <row r="83" ht="15.75" customHeight="1">
      <c r="A83" s="1" t="s">
        <v>82</v>
      </c>
      <c r="B83" s="2" t="str">
        <f>IFERROR(__xludf.DUMMYFUNCTION("GOOGLETRANSLATE(A83, ""de"", ""uk"")"),"людина")</f>
        <v>людина</v>
      </c>
    </row>
    <row r="84" ht="15.75" customHeight="1">
      <c r="A84" s="1" t="s">
        <v>83</v>
      </c>
      <c r="B84" s="2" t="str">
        <f>IFERROR(__xludf.DUMMYFUNCTION("GOOGLETRANSLATE(A84, ""de"", ""uk"")"),"мова")</f>
        <v>мова</v>
      </c>
    </row>
    <row r="85" ht="15.75" customHeight="1">
      <c r="A85" s="1" t="s">
        <v>84</v>
      </c>
      <c r="B85" s="2" t="str">
        <f>IFERROR(__xludf.DUMMYFUNCTION("GOOGLETRANSLATE(A85, ""de"", ""uk"")"),"леді")</f>
        <v>леді</v>
      </c>
    </row>
    <row r="86" ht="15.75" customHeight="1">
      <c r="A86" s="1" t="s">
        <v>85</v>
      </c>
      <c r="B86" s="2" t="str">
        <f>IFERROR(__xludf.DUMMYFUNCTION("GOOGLETRANSLATE(A86, ""de"", ""uk"")"),"Німеччина")</f>
        <v>Німеччина</v>
      </c>
    </row>
    <row r="87" ht="15.75" customHeight="1">
      <c r="A87" s="1" t="s">
        <v>86</v>
      </c>
      <c r="B87" s="2" t="str">
        <f>IFERROR(__xludf.DUMMYFUNCTION("GOOGLETRANSLATE(A87, ""de"", ""uk"")"),"я")</f>
        <v>я</v>
      </c>
    </row>
    <row r="88" ht="15.75" customHeight="1">
      <c r="A88" s="1" t="s">
        <v>87</v>
      </c>
      <c r="B88" s="2" t="str">
        <f>IFERROR(__xludf.DUMMYFUNCTION("GOOGLETRANSLATE(A88, ""de"", ""uk"")"),"ви")</f>
        <v>ви</v>
      </c>
    </row>
    <row r="89" ht="15.75" customHeight="1">
      <c r="A89" s="1" t="s">
        <v>88</v>
      </c>
      <c r="B89" s="2" t="str">
        <f>IFERROR(__xludf.DUMMYFUNCTION("GOOGLETRANSLATE(A89, ""de"", ""uk"")"),"він")</f>
        <v>він</v>
      </c>
    </row>
    <row r="90" ht="15.75" customHeight="1">
      <c r="A90" s="1" t="s">
        <v>89</v>
      </c>
      <c r="B90" s="2" t="str">
        <f>IFERROR(__xludf.DUMMYFUNCTION("GOOGLETRANSLATE(A90, ""de"", ""uk"")"),"вони (однина)")</f>
        <v>вони (однина)</v>
      </c>
    </row>
    <row r="91" ht="15.75" customHeight="1">
      <c r="A91" s="1" t="s">
        <v>90</v>
      </c>
      <c r="B91" s="2" t="str">
        <f>IFERROR(__xludf.DUMMYFUNCTION("GOOGLETRANSLATE(A91, ""de"", ""uk"")"),"це")</f>
        <v>це</v>
      </c>
    </row>
    <row r="92" ht="15.75" customHeight="1">
      <c r="A92" s="1" t="s">
        <v>91</v>
      </c>
      <c r="B92" s="2" t="str">
        <f>IFERROR(__xludf.DUMMYFUNCTION("GOOGLETRANSLATE(A92, ""de"", ""uk"")"),"ми")</f>
        <v>ми</v>
      </c>
    </row>
    <row r="93" ht="15.75" customHeight="1">
      <c r="A93" s="1" t="s">
        <v>92</v>
      </c>
      <c r="B93" s="2" t="str">
        <f>IFERROR(__xludf.DUMMYFUNCTION("GOOGLETRANSLATE(A93, ""de"", ""uk"")"),"її")</f>
        <v>її</v>
      </c>
    </row>
    <row r="94" ht="15.75" customHeight="1">
      <c r="A94" s="1" t="s">
        <v>93</v>
      </c>
      <c r="B94" s="2" t="str">
        <f>IFERROR(__xludf.DUMMYFUNCTION("GOOGLETRANSLATE(A94, ""de"", ""uk"")"),"вони (множина)")</f>
        <v>вони (множина)</v>
      </c>
    </row>
    <row r="95" ht="15.75" customHeight="1">
      <c r="A95" s="1" t="s">
        <v>94</v>
      </c>
      <c r="B95" s="2" t="str">
        <f>IFERROR(__xludf.DUMMYFUNCTION("GOOGLETRANSLATE(A95, ""de"", ""uk"")"),"Ви (формально Ви)")</f>
        <v>Ви (формально Ви)</v>
      </c>
    </row>
    <row r="96" ht="15.75" customHeight="1">
      <c r="A96" s="1" t="s">
        <v>95</v>
      </c>
      <c r="B96" s="2" t="str">
        <f>IFERROR(__xludf.DUMMYFUNCTION("GOOGLETRANSLATE(A96, ""de"", ""uk"")"),"мій")</f>
        <v>мій</v>
      </c>
    </row>
    <row r="97" ht="15.75" customHeight="1">
      <c r="A97" s="1" t="s">
        <v>96</v>
      </c>
      <c r="B97" s="2" t="str">
        <f>IFERROR(__xludf.DUMMYFUNCTION("GOOGLETRANSLATE(A97, ""de"", ""uk"")"),"ваш")</f>
        <v>ваш</v>
      </c>
    </row>
    <row r="98" ht="15.75" customHeight="1">
      <c r="A98" s="1" t="s">
        <v>15</v>
      </c>
      <c r="B98" s="2" t="str">
        <f>IFERROR(__xludf.DUMMYFUNCTION("GOOGLETRANSLATE(A98, ""de"", ""uk"")"),"бути")</f>
        <v>бути</v>
      </c>
    </row>
    <row r="99" ht="15.75" customHeight="1">
      <c r="A99" s="1" t="s">
        <v>97</v>
      </c>
      <c r="B99" s="2" t="str">
        <f>IFERROR(__xludf.DUMMYFUNCTION("GOOGLETRANSLATE(A99, ""de"", ""uk"")"),"ти (однина)")</f>
        <v>ти (однина)</v>
      </c>
    </row>
    <row r="100" ht="15.75" customHeight="1">
      <c r="A100" s="1" t="s">
        <v>15</v>
      </c>
      <c r="B100" s="2" t="str">
        <f>IFERROR(__xludf.DUMMYFUNCTION("GOOGLETRANSLATE(A100, ""de"", ""uk"")"),"бути")</f>
        <v>бути</v>
      </c>
    </row>
    <row r="101" ht="15.75" customHeight="1">
      <c r="A101" s="1" t="s">
        <v>98</v>
      </c>
      <c r="B101" s="2" t="str">
        <f>IFERROR(__xludf.DUMMYFUNCTION("GOOGLETRANSLATE(A101, ""de"", ""uk"")"),"наш")</f>
        <v>наш</v>
      </c>
    </row>
    <row r="102" ht="15.75" customHeight="1">
      <c r="A102" s="1" t="s">
        <v>99</v>
      </c>
      <c r="B102" s="2" t="str">
        <f>IFERROR(__xludf.DUMMYFUNCTION("GOOGLETRANSLATE(A102, ""de"", ""uk"")"),"ваш")</f>
        <v>ваш</v>
      </c>
    </row>
    <row r="103" ht="15.75" customHeight="1">
      <c r="A103" s="1" t="s">
        <v>100</v>
      </c>
      <c r="B103" s="2" t="str">
        <f>IFERROR(__xludf.DUMMYFUNCTION("GOOGLETRANSLATE(A103, ""de"", ""uk"")"),"ти (множина)")</f>
        <v>ти (множина)</v>
      </c>
    </row>
    <row r="104" ht="15.75" customHeight="1">
      <c r="A104" s="1" t="s">
        <v>101</v>
      </c>
      <c r="B104" s="2" t="str">
        <f>IFERROR(__xludf.DUMMYFUNCTION("GOOGLETRANSLATE(A104, ""de"", ""uk"")"),"Ви (формально Ви)")</f>
        <v>Ви (формально Ви)</v>
      </c>
    </row>
    <row r="105" ht="15.75" customHeight="1">
      <c r="A105" s="1" t="s">
        <v>102</v>
      </c>
      <c r="B105" s="2" t="str">
        <f>IFERROR(__xludf.DUMMYFUNCTION("GOOGLETRANSLATE(A105, ""de"", ""uk"")"),"Гаразд, я заповню форму.")</f>
        <v>Гаразд, я заповню форму.</v>
      </c>
    </row>
    <row r="106" ht="15.75" customHeight="1">
      <c r="A106" s="1" t="s">
        <v>103</v>
      </c>
      <c r="B106" s="2" t="str">
        <f>IFERROR(__xludf.DUMMYFUNCTION("GOOGLETRANSLATE(A106, ""de"", ""uk"")"),"Як називаються німецькі статті?")</f>
        <v>Як називаються німецькі статті?</v>
      </c>
    </row>
    <row r="107" ht="15.75" customHeight="1">
      <c r="A107" s="1" t="s">
        <v>104</v>
      </c>
      <c r="B107" s="2" t="str">
        <f>IFERROR(__xludf.DUMMYFUNCTION("GOOGLETRANSLATE(A107, ""de"", ""uk"")"),"Будь ласка, підпишіть форму.")</f>
        <v>Будь ласка, підпишіть форму.</v>
      </c>
    </row>
    <row r="108" ht="15.75" customHeight="1">
      <c r="A108" s="1" t="s">
        <v>105</v>
      </c>
      <c r="B108" s="2" t="str">
        <f>IFERROR(__xludf.DUMMYFUNCTION("GOOGLETRANSLATE(A108, ""de"", ""uk"")"),"Жінка виходить заміж за чоловіка.")</f>
        <v>Жінка виходить заміж за чоловіка.</v>
      </c>
    </row>
    <row r="109" ht="15.75" customHeight="1">
      <c r="A109" s="1" t="s">
        <v>106</v>
      </c>
      <c r="B109" s="2" t="str">
        <f>IFERROR(__xludf.DUMMYFUNCTION("GOOGLETRANSLATE(A109, ""de"", ""uk"")"),"Ні, ми до вас не завітаємо.")</f>
        <v>Ні, ми до вас не завітаємо.</v>
      </c>
    </row>
    <row r="110" ht="15.75" customHeight="1">
      <c r="A110" s="1" t="s">
        <v>107</v>
      </c>
      <c r="B110" s="2" t="str">
        <f>IFERROR(__xludf.DUMMYFUNCTION("GOOGLETRANSLATE(A110, ""de"", ""uk"")"),"Ні, чоловік вітає дитину.")</f>
        <v>Ні, чоловік вітає дитину.</v>
      </c>
    </row>
    <row r="111" ht="15.75" customHeight="1">
      <c r="A111" s="1" t="s">
        <v>108</v>
      </c>
      <c r="B111" s="2" t="str">
        <f>IFERROR(__xludf.DUMMYFUNCTION("GOOGLETRANSLATE(A111, ""de"", ""uk"")"),"Я вітаю тебе з днем ​​народження.")</f>
        <v>Я вітаю тебе з днем ​​народження.</v>
      </c>
    </row>
    <row r="112" ht="15.75" customHeight="1">
      <c r="A112" s="1" t="s">
        <v>109</v>
      </c>
      <c r="B112" s="2" t="str">
        <f>IFERROR(__xludf.DUMMYFUNCTION("GOOGLETRANSLATE(A112, ""de"", ""uk"")"),"Дякуємо за подарунок.")</f>
        <v>Дякуємо за подарунок.</v>
      </c>
    </row>
    <row r="113" ht="15.75" customHeight="1">
      <c r="A113" s="1" t="s">
        <v>110</v>
      </c>
      <c r="B113" s="2" t="str">
        <f>IFERROR(__xludf.DUMMYFUNCTION("GOOGLETRANSLATE(A113, ""de"", ""uk"")"),"Вона родом з Німеччини.")</f>
        <v>Вона родом з Німеччини.</v>
      </c>
    </row>
    <row r="114" ht="15.75" customHeight="1">
      <c r="A114" s="1" t="s">
        <v>111</v>
      </c>
      <c r="B114" s="2" t="str">
        <f>IFERROR(__xludf.DUMMYFUNCTION("GOOGLETRANSLATE(A114, ""de"", ""uk"")"),"Так, я допоможу жінці.")</f>
        <v>Так, я допоможу жінці.</v>
      </c>
    </row>
    <row r="115" ht="15.75" customHeight="1">
      <c r="A115" s="1" t="s">
        <v>112</v>
      </c>
      <c r="B115" s="2" t="str">
        <f>IFERROR(__xludf.DUMMYFUNCTION("GOOGLETRANSLATE(A115, ""de"", ""uk"")"),"Ні, я не розумію німецької.")</f>
        <v>Ні, я не розумію німецької.</v>
      </c>
    </row>
    <row r="116" ht="15.75" customHeight="1">
      <c r="A116" s="1" t="s">
        <v>113</v>
      </c>
      <c r="B116" s="2" t="str">
        <f>IFERROR(__xludf.DUMMYFUNCTION("GOOGLETRANSLATE(A116, ""de"", ""uk"")"),"Ні, я не розмовляю арабською.")</f>
        <v>Ні, я не розмовляю арабською.</v>
      </c>
    </row>
    <row r="117" ht="15.75" customHeight="1">
      <c r="A117" s="1" t="s">
        <v>114</v>
      </c>
      <c r="B117" s="2" t="str">
        <f>IFERROR(__xludf.DUMMYFUNCTION("GOOGLETRANSLATE(A117, ""de"", ""uk"")"),"Будь ласка, запишіть своє ім'я.")</f>
        <v>Будь ласка, запишіть своє ім'я.</v>
      </c>
    </row>
    <row r="118" ht="15.75" customHeight="1">
      <c r="A118" s="1" t="s">
        <v>115</v>
      </c>
      <c r="B118" s="2" t="str">
        <f>IFERROR(__xludf.DUMMYFUNCTION("GOOGLETRANSLATE(A118, ""de"", ""uk"")"),"Вибачте, будь ласка.")</f>
        <v>Вибачте, будь ласка.</v>
      </c>
    </row>
    <row r="119" ht="15.75" customHeight="1">
      <c r="A119" s="1" t="s">
        <v>116</v>
      </c>
      <c r="B119" s="2" t="str">
        <f>IFERROR(__xludf.DUMMYFUNCTION("GOOGLETRANSLATE(A119, ""de"", ""uk"")"),"Приємно познайомитись.")</f>
        <v>Приємно познайомитись.</v>
      </c>
    </row>
    <row r="120" ht="15.75" customHeight="1">
      <c r="A120" s="1" t="s">
        <v>117</v>
      </c>
      <c r="B120" s="2" t="str">
        <f>IFERROR(__xludf.DUMMYFUNCTION("GOOGLETRANSLATE(A120, ""de"", ""uk"")"),"Особа чоловічої статі")</f>
        <v>Особа чоловічої статі</v>
      </c>
    </row>
    <row r="121" ht="15.75" customHeight="1">
      <c r="A121" s="1" t="s">
        <v>118</v>
      </c>
      <c r="B121" s="2" t="str">
        <f>IFERROR(__xludf.DUMMYFUNCTION("GOOGLETRANSLATE(A121, ""de"", ""uk"")"),"Будь ласка, представтесь.")</f>
        <v>Будь ласка, представтесь.</v>
      </c>
    </row>
    <row r="122" ht="15.75" customHeight="1">
      <c r="A122" s="1" t="s">
        <v>119</v>
      </c>
      <c r="B122" s="2" t="str">
        <f>IFERROR(__xludf.DUMMYFUNCTION("GOOGLETRANSLATE(A122, ""de"", ""uk"")"),"Я живу в Баутцені.")</f>
        <v>Я живу в Баутцені.</v>
      </c>
    </row>
    <row r="123" ht="15.75" customHeight="1">
      <c r="A123" s="1" t="s">
        <v>120</v>
      </c>
      <c r="B123" s="2" t="str">
        <f>IFERROR(__xludf.DUMMYFUNCTION("GOOGLETRANSLATE(A123, ""de"", ""uk"")"),"У мене є дружина і дитина.")</f>
        <v>У мене є дружина і дитина.</v>
      </c>
    </row>
    <row r="124" ht="15.75" customHeight="1">
      <c r="A124" s="1" t="s">
        <v>121</v>
      </c>
      <c r="B124" s="2" t="str">
        <f>IFERROR(__xludf.DUMMYFUNCTION("GOOGLETRANSLATE(A124, ""de"", ""uk"")"),"Що я скажу своїй дружині?")</f>
        <v>Що я скажу своїй дружині?</v>
      </c>
    </row>
    <row r="125" ht="15.75" customHeight="1">
      <c r="A125" s="1" t="s">
        <v>122</v>
      </c>
      <c r="B125" s="2" t="str">
        <f>IFERROR(__xludf.DUMMYFUNCTION("GOOGLETRANSLATE(A125, ""de"", ""uk"")"),"Я Томас.")</f>
        <v>Я Томас.</v>
      </c>
    </row>
    <row r="126" ht="15.75" customHeight="1">
      <c r="A126" s="1" t="s">
        <v>123</v>
      </c>
      <c r="B126" s="2" t="str">
        <f>IFERROR(__xludf.DUMMYFUNCTION("GOOGLETRANSLATE(A126, ""de"", ""uk"")"),"Ви Альфред.")</f>
        <v>Ви Альфред.</v>
      </c>
    </row>
    <row r="127" ht="15.75" customHeight="1">
      <c r="A127" s="1" t="s">
        <v>124</v>
      </c>
      <c r="B127" s="2" t="str">
        <f>IFERROR(__xludf.DUMMYFUNCTION("GOOGLETRANSLATE(A127, ""de"", ""uk"")"),"Він Ахмад.")</f>
        <v>Він Ахмад.</v>
      </c>
    </row>
    <row r="128" ht="15.75" customHeight="1">
      <c r="A128" s="1" t="s">
        <v>125</v>
      </c>
      <c r="B128" s="2" t="str">
        <f>IFERROR(__xludf.DUMMYFUNCTION("GOOGLETRANSLATE(A128, ""de"", ""uk"")"),"Вона Монік.")</f>
        <v>Вона Монік.</v>
      </c>
    </row>
    <row r="129" ht="15.75" customHeight="1">
      <c r="A129" s="1" t="s">
        <v>126</v>
      </c>
      <c r="B129" s="2" t="str">
        <f>IFERROR(__xludf.DUMMYFUNCTION("GOOGLETRANSLATE(A129, ""de"", ""uk"")"),"Це дитина.")</f>
        <v>Це дитина.</v>
      </c>
    </row>
    <row r="130" ht="15.75" customHeight="1">
      <c r="A130" s="1" t="s">
        <v>127</v>
      </c>
      <c r="B130" s="2" t="str">
        <f>IFERROR(__xludf.DUMMYFUNCTION("GOOGLETRANSLATE(A130, ""de"", ""uk"")"),"Ми з Німеччини.")</f>
        <v>Ми з Німеччини.</v>
      </c>
    </row>
    <row r="131" ht="15.75" customHeight="1">
      <c r="A131" s="1" t="s">
        <v>128</v>
      </c>
      <c r="B131" s="2" t="str">
        <f>IFERROR(__xludf.DUMMYFUNCTION("GOOGLETRANSLATE(A131, ""de"", ""uk"")"),"Ти красива.")</f>
        <v>Ти красива.</v>
      </c>
    </row>
    <row r="132" ht="15.75" customHeight="1">
      <c r="A132" s="1" t="s">
        <v>129</v>
      </c>
      <c r="B132" s="2" t="str">
        <f>IFERROR(__xludf.DUMMYFUNCTION("GOOGLETRANSLATE(A132, ""de"", ""uk"")"),"Вони допомагають дитині.")</f>
        <v>Вони допомагають дитині.</v>
      </c>
    </row>
    <row r="133" ht="15.75" customHeight="1">
      <c r="A133" s="1" t="s">
        <v>130</v>
      </c>
      <c r="B133" s="2" t="str">
        <f>IFERROR(__xludf.DUMMYFUNCTION("GOOGLETRANSLATE(A133, ""de"", ""uk"")"),"Ви гарна жінка.")</f>
        <v>Ви гарна жінка.</v>
      </c>
    </row>
    <row r="134" ht="15.75" customHeight="1">
      <c r="A134" s="1" t="s">
        <v>131</v>
      </c>
      <c r="B134" s="2" t="str">
        <f>IFERROR(__xludf.DUMMYFUNCTION("GOOGLETRANSLATE(A134, ""de"", ""uk"")"),"Мою дитину звуть Аня.")</f>
        <v>Мою дитину звуть Аня.</v>
      </c>
    </row>
    <row r="135" ht="15.75" customHeight="1">
      <c r="A135" s="1" t="s">
        <v>132</v>
      </c>
      <c r="B135" s="2" t="str">
        <f>IFERROR(__xludf.DUMMYFUNCTION("GOOGLETRANSLATE(A135, ""de"", ""uk"")"),"Він не говорить твій вік.")</f>
        <v>Він не говорить твій вік.</v>
      </c>
    </row>
    <row r="136" ht="15.75" customHeight="1">
      <c r="A136" s="1" t="s">
        <v>133</v>
      </c>
      <c r="B136" s="2" t="str">
        <f>IFERROR(__xludf.DUMMYFUNCTION("GOOGLETRANSLATE(A136, ""de"", ""uk"")"),"Його адреса вказана на бланку.")</f>
        <v>Його адреса вказана на бланку.</v>
      </c>
    </row>
    <row r="137" ht="15.75" customHeight="1">
      <c r="A137" s="1" t="s">
        <v>134</v>
      </c>
      <c r="B137" s="2" t="str">
        <f>IFERROR(__xludf.DUMMYFUNCTION("GOOGLETRANSLATE(A137, ""de"", ""uk"")"),"її місце народження Дрезден.")</f>
        <v>її місце народження Дрезден.</v>
      </c>
    </row>
    <row r="138" ht="15.75" customHeight="1">
      <c r="A138" s="1" t="s">
        <v>135</v>
      </c>
      <c r="B138" s="2" t="str">
        <f>IFERROR(__xludf.DUMMYFUNCTION("GOOGLETRANSLATE(A138, ""de"", ""uk"")"),"Його дружина родом з Німеччини.")</f>
        <v>Його дружина родом з Німеччини.</v>
      </c>
    </row>
    <row r="139" ht="15.75" customHeight="1">
      <c r="A139" s="1" t="s">
        <v>136</v>
      </c>
      <c r="B139" s="2" t="str">
        <f>IFERROR(__xludf.DUMMYFUNCTION("GOOGLETRANSLATE(A139, ""de"", ""uk"")"),"У нас є наше запрошення.")</f>
        <v>У нас є наше запрошення.</v>
      </c>
    </row>
    <row r="140" ht="15.75" customHeight="1">
      <c r="A140" s="1" t="s">
        <v>137</v>
      </c>
      <c r="B140" s="2" t="str">
        <f>IFERROR(__xludf.DUMMYFUNCTION("GOOGLETRANSLATE(A140, ""de"", ""uk"")"),"Вашу дитину звуть Іван.")</f>
        <v>Вашу дитину звуть Іван.</v>
      </c>
    </row>
    <row r="141" ht="15.75" customHeight="1">
      <c r="A141" s="1" t="s">
        <v>138</v>
      </c>
      <c r="B141" s="2" t="str">
        <f>IFERROR(__xludf.DUMMYFUNCTION("GOOGLETRANSLATE(A141, ""de"", ""uk"")"),"Я розмовляю з її чоловіком.")</f>
        <v>Я розмовляю з її чоловіком.</v>
      </c>
    </row>
    <row r="142" ht="15.75" customHeight="1">
      <c r="A142" s="1" t="s">
        <v>139</v>
      </c>
      <c r="B142" s="2" t="str">
        <f>IFERROR(__xludf.DUMMYFUNCTION("GOOGLETRANSLATE(A142, ""de"", ""uk"")"),"Вас звуть пан Мюллер.")</f>
        <v>Вас звуть пан Мюллер.</v>
      </c>
    </row>
    <row r="143" ht="15.75" customHeight="1">
      <c r="A143" s="1" t="s">
        <v>140</v>
      </c>
      <c r="B143" s="2" t="str">
        <f>IFERROR(__xludf.DUMMYFUNCTION("GOOGLETRANSLATE(A143, ""de"", ""uk"")"),"Я не кажу свою адресу.")</f>
        <v>Я не кажу свою адресу.</v>
      </c>
    </row>
    <row r="144" ht="15.75" customHeight="1">
      <c r="A144" s="1" t="s">
        <v>141</v>
      </c>
      <c r="B144" s="2" t="str">
        <f>IFERROR(__xludf.DUMMYFUNCTION("GOOGLETRANSLATE(A144, ""de"", ""uk"")"),"Мене звати Мартін Мюллер.")</f>
        <v>Мене звати Мартін Мюллер.</v>
      </c>
    </row>
    <row r="145" ht="15.75" customHeight="1">
      <c r="A145" s="1" t="s">
        <v>142</v>
      </c>
      <c r="B145" s="2" t="str">
        <f>IFERROR(__xludf.DUMMYFUNCTION("GOOGLETRANSLATE(A145, ""de"", ""uk"")"),"Моє ім'я Мартін.")</f>
        <v>Моє ім'я Мартін.</v>
      </c>
    </row>
    <row r="146" ht="15.75" customHeight="1">
      <c r="A146" s="1" t="s">
        <v>143</v>
      </c>
      <c r="B146" s="2" t="str">
        <f>IFERROR(__xludf.DUMMYFUNCTION("GOOGLETRANSLATE(A146, ""de"", ""uk"")"),"Моє прізвище Мюллер.")</f>
        <v>Моє прізвище Мюллер.</v>
      </c>
    </row>
    <row r="147" ht="15.75" customHeight="1">
      <c r="A147" s="1" t="s">
        <v>144</v>
      </c>
      <c r="B147" s="2" t="str">
        <f>IFERROR(__xludf.DUMMYFUNCTION("GOOGLETRANSLATE(A147, ""de"", ""uk"")"),"Я живу на Головній вулиці.")</f>
        <v>Я живу на Головній вулиці.</v>
      </c>
    </row>
    <row r="148" ht="15.75" customHeight="1">
      <c r="A148" s="1" t="s">
        <v>145</v>
      </c>
      <c r="B148" s="2" t="str">
        <f>IFERROR(__xludf.DUMMYFUNCTION("GOOGLETRANSLATE(A148, ""de"", ""uk"")"),"Номер мого будинку 7.")</f>
        <v>Номер мого будинку 7.</v>
      </c>
    </row>
    <row r="149" ht="15.75" customHeight="1">
      <c r="A149" s="1" t="s">
        <v>146</v>
      </c>
      <c r="B149" s="2" t="str">
        <f>IFERROR(__xludf.DUMMYFUNCTION("GOOGLETRANSLATE(A149, ""de"", ""uk"")"),"Де місце?")</f>
        <v>Де місце?</v>
      </c>
    </row>
    <row r="150" ht="15.75" customHeight="1">
      <c r="A150" s="1" t="s">
        <v>147</v>
      </c>
      <c r="B150" s="2" t="str">
        <f>IFERROR(__xludf.DUMMYFUNCTION("GOOGLETRANSLATE(A150, ""de"", ""uk"")"),"Я записую свій поштовий індекс.")</f>
        <v>Я записую свій поштовий індекс.</v>
      </c>
    </row>
    <row r="151" ht="15.75" customHeight="1">
      <c r="A151" s="1" t="s">
        <v>148</v>
      </c>
      <c r="B151" s="2" t="str">
        <f>IFERROR(__xludf.DUMMYFUNCTION("GOOGLETRANSLATE(A151, ""de"", ""uk"")"),"Ваше місце народження Берлін.")</f>
        <v>Ваше місце народження Берлін.</v>
      </c>
    </row>
    <row r="152" ht="15.75" customHeight="1">
      <c r="A152" s="1" t="s">
        <v>149</v>
      </c>
      <c r="B152" s="2" t="str">
        <f>IFERROR(__xludf.DUMMYFUNCTION("GOOGLETRANSLATE(A152, ""de"", ""uk"")"),"Ваш рік народження 1984.")</f>
        <v>Ваш рік народження 1984.</v>
      </c>
    </row>
    <row r="153" ht="15.75" customHeight="1">
      <c r="A153" s="1" t="s">
        <v>150</v>
      </c>
      <c r="B153" s="2" t="str">
        <f>IFERROR(__xludf.DUMMYFUNCTION("GOOGLETRANSLATE(A153, ""de"", ""uk"")"),"Моя дата народження 1 січня 1984 року.")</f>
        <v>Моя дата народження 1 січня 1984 року.</v>
      </c>
    </row>
    <row r="154" ht="15.75" customHeight="1">
      <c r="A154" s="1" t="s">
        <v>151</v>
      </c>
      <c r="B154" s="2" t="str">
        <f>IFERROR(__xludf.DUMMYFUNCTION("GOOGLETRANSLATE(A154, ""de"", ""uk"")"),"Я заповнюю форму.")</f>
        <v>Я заповнюю форму.</v>
      </c>
    </row>
    <row r="155" ht="15.75" customHeight="1">
      <c r="A155" s="1" t="s">
        <v>152</v>
      </c>
      <c r="B155" s="2" t="str">
        <f>IFERROR(__xludf.DUMMYFUNCTION("GOOGLETRANSLATE(A155, ""de"", ""uk"")"),"Я не кажу свій вік.")</f>
        <v>Я не кажу свій вік.</v>
      </c>
    </row>
    <row r="156" ht="15.75" customHeight="1">
      <c r="A156" s="1" t="s">
        <v>153</v>
      </c>
      <c r="B156" s="2" t="str">
        <f>IFERROR(__xludf.DUMMYFUNCTION("GOOGLETRANSLATE(A156, ""de"", ""uk"")"),"Мій підпис під формою.")</f>
        <v>Мій підпис під формою.</v>
      </c>
    </row>
    <row r="157" ht="15.75" customHeight="1">
      <c r="A157" s="1" t="s">
        <v>154</v>
      </c>
      <c r="B157" s="2" t="str">
        <f>IFERROR(__xludf.DUMMYFUNCTION("GOOGLETRANSLATE(A157, ""de"", ""uk"")"),"Який її сімейний стан?")</f>
        <v>Який її сімейний стан?</v>
      </c>
    </row>
    <row r="158" ht="15.75" customHeight="1">
      <c r="A158" s="1" t="s">
        <v>155</v>
      </c>
      <c r="B158" s="2" t="str">
        <f>IFERROR(__xludf.DUMMYFUNCTION("GOOGLETRANSLATE(A158, ""de"", ""uk"")"),"У мене немає паперів.")</f>
        <v>У мене немає паперів.</v>
      </c>
    </row>
    <row r="159" ht="15.75" customHeight="1">
      <c r="A159" s="1" t="s">
        <v>156</v>
      </c>
      <c r="B159" s="2" t="str">
        <f>IFERROR(__xludf.DUMMYFUNCTION("GOOGLETRANSLATE(A159, ""de"", ""uk"")"),"У нього немає посвідчення особи.")</f>
        <v>У нього немає посвідчення особи.</v>
      </c>
    </row>
    <row r="160" ht="15.75" customHeight="1">
      <c r="A160" s="1" t="s">
        <v>157</v>
      </c>
      <c r="B160" s="2" t="str">
        <f>IFERROR(__xludf.DUMMYFUNCTION("GOOGLETRANSLATE(A160, ""de"", ""uk"")"),"У нас немає паспорта.")</f>
        <v>У нас немає паспорта.</v>
      </c>
    </row>
    <row r="161" ht="15.75" customHeight="1">
      <c r="A161" s="1" t="s">
        <v>158</v>
      </c>
      <c r="B161" s="2" t="str">
        <f>IFERROR(__xludf.DUMMYFUNCTION("GOOGLETRANSLATE(A161, ""de"", ""uk"")"),"Це твій день народження.")</f>
        <v>Це твій день народження.</v>
      </c>
    </row>
    <row r="162" ht="15.75" customHeight="1">
      <c r="A162" s="1" t="s">
        <v>159</v>
      </c>
      <c r="B162" s="2" t="str">
        <f>IFERROR(__xludf.DUMMYFUNCTION("GOOGLETRANSLATE(A162, ""de"", ""uk"")"),"У мене є запрошення на день народження.")</f>
        <v>У мене є запрошення на день народження.</v>
      </c>
    </row>
    <row r="163" ht="15.75" customHeight="1">
      <c r="A163" s="1" t="s">
        <v>160</v>
      </c>
      <c r="B163" s="2" t="str">
        <f>IFERROR(__xludf.DUMMYFUNCTION("GOOGLETRANSLATE(A163, ""de"", ""uk"")"),"Торт гарний.")</f>
        <v>Торт гарний.</v>
      </c>
    </row>
    <row r="164" ht="15.75" customHeight="1">
      <c r="A164" s="1" t="s">
        <v>161</v>
      </c>
      <c r="B164" s="2" t="str">
        <f>IFERROR(__xludf.DUMMYFUNCTION("GOOGLETRANSLATE(A164, ""de"", ""uk"")"),"У вас є дар.")</f>
        <v>У вас є дар.</v>
      </c>
    </row>
    <row r="165" ht="15.75" customHeight="1">
      <c r="A165" s="1" t="s">
        <v>162</v>
      </c>
      <c r="B165" s="2" t="str">
        <f>IFERROR(__xludf.DUMMYFUNCTION("GOOGLETRANSLATE(A165, ""de"", ""uk"")"),"Гість приїхав з Німеччини.")</f>
        <v>Гість приїхав з Німеччини.</v>
      </c>
    </row>
    <row r="166" ht="15.75" customHeight="1">
      <c r="A166" s="1" t="s">
        <v>163</v>
      </c>
      <c r="B166" s="2" t="str">
        <f>IFERROR(__xludf.DUMMYFUNCTION("GOOGLETRANSLATE(A166, ""de"", ""uk"")"),"Жінка красива.")</f>
        <v>Жінка красива.</v>
      </c>
    </row>
    <row r="167" ht="15.75" customHeight="1">
      <c r="A167" s="1" t="s">
        <v>164</v>
      </c>
      <c r="B167" s="2" t="str">
        <f>IFERROR(__xludf.DUMMYFUNCTION("GOOGLETRANSLATE(A167, ""de"", ""uk"")"),"Чоловік неодружений.")</f>
        <v>Чоловік неодружений.</v>
      </c>
    </row>
    <row r="168" ht="15.75" customHeight="1">
      <c r="A168" s="1" t="s">
        <v>165</v>
      </c>
      <c r="B168" s="2" t="str">
        <f>IFERROR(__xludf.DUMMYFUNCTION("GOOGLETRANSLATE(A168, ""de"", ""uk"")"),"Хлопець розмовляє арабською.")</f>
        <v>Хлопець розмовляє арабською.</v>
      </c>
    </row>
    <row r="169" ht="15.75" customHeight="1">
      <c r="A169" s="1" t="s">
        <v>166</v>
      </c>
      <c r="B169" s="2" t="str">
        <f>IFERROR(__xludf.DUMMYFUNCTION("GOOGLETRANSLATE(A169, ""de"", ""uk"")"),"Дівчина трохи володіє німецькою.")</f>
        <v>Дівчина трохи володіє німецькою.</v>
      </c>
    </row>
    <row r="170" ht="15.75" customHeight="1">
      <c r="A170" s="1" t="s">
        <v>167</v>
      </c>
      <c r="B170" s="2" t="str">
        <f>IFERROR(__xludf.DUMMYFUNCTION("GOOGLETRANSLATE(A170, ""de"", ""uk"")"),"Дитина розмовляє з мамою.")</f>
        <v>Дитина розмовляє з мамою.</v>
      </c>
    </row>
    <row r="171" ht="15.75" customHeight="1">
      <c r="A171" s="1" t="s">
        <v>168</v>
      </c>
      <c r="B171" s="2" t="str">
        <f>IFERROR(__xludf.DUMMYFUNCTION("GOOGLETRANSLATE(A171, ""de"", ""uk"")"),"У мене немає номера мобільного телефону.")</f>
        <v>У мене немає номера мобільного телефону.</v>
      </c>
    </row>
    <row r="172" ht="15.75" customHeight="1">
      <c r="A172" s="1" t="s">
        <v>169</v>
      </c>
      <c r="B172" s="2" t="str">
        <f>IFERROR(__xludf.DUMMYFUNCTION("GOOGLETRANSLATE(A172, ""de"", ""uk"")"),"Я не кажу свій номер.")</f>
        <v>Я не кажу свій номер.</v>
      </c>
    </row>
    <row r="173" ht="15.75" customHeight="1">
      <c r="A173" s="1" t="s">
        <v>170</v>
      </c>
      <c r="B173" s="2" t="str">
        <f>IFERROR(__xludf.DUMMYFUNCTION("GOOGLETRANSLATE(A173, ""de"", ""uk"")"),"Записую алфавіт.")</f>
        <v>Записую алфавіт.</v>
      </c>
    </row>
    <row r="174" ht="15.75" customHeight="1">
      <c r="A174" s="1" t="s">
        <v>171</v>
      </c>
      <c r="B174" s="2" t="str">
        <f>IFERROR(__xludf.DUMMYFUNCTION("GOOGLETRANSLATE(A174, ""de"", ""uk"")"),"Це стаття.")</f>
        <v>Це стаття.</v>
      </c>
    </row>
    <row r="175" ht="15.75" customHeight="1">
      <c r="A175" s="1" t="s">
        <v>172</v>
      </c>
      <c r="B175" s="2" t="str">
        <f>IFERROR(__xludf.DUMMYFUNCTION("GOOGLETRANSLATE(A175, ""de"", ""uk"")"),"Особа чоловічої статі.")</f>
        <v>Особа чоловічої статі.</v>
      </c>
    </row>
    <row r="176" ht="15.75" customHeight="1">
      <c r="A176" s="1" t="s">
        <v>173</v>
      </c>
      <c r="B176" s="2" t="str">
        <f>IFERROR(__xludf.DUMMYFUNCTION("GOOGLETRANSLATE(A176, ""de"", ""uk"")"),"Я розумію німецьку мову.")</f>
        <v>Я розумію німецьку мову.</v>
      </c>
    </row>
    <row r="177" ht="15.75" customHeight="1">
      <c r="A177" s="1" t="s">
        <v>174</v>
      </c>
      <c r="B177" s="2" t="str">
        <f>IFERROR(__xludf.DUMMYFUNCTION("GOOGLETRANSLATE(A177, ""de"", ""uk"")"),"Жінка допомагає чоловікові.")</f>
        <v>Жінка допомагає чоловікові.</v>
      </c>
    </row>
    <row r="178" ht="15.75" customHeight="1">
      <c r="A178" s="1" t="s">
        <v>175</v>
      </c>
      <c r="B178" s="2" t="str">
        <f>IFERROR(__xludf.DUMMYFUNCTION("GOOGLETRANSLATE(A178, ""de"", ""uk"")"),"Німеччина прекрасна.")</f>
        <v>Німеччина прекрасна.</v>
      </c>
    </row>
    <row r="179" ht="15.75" customHeight="1">
      <c r="A179" s="1" t="s">
        <v>172</v>
      </c>
      <c r="B179" s="2" t="str">
        <f>IFERROR(__xludf.DUMMYFUNCTION("GOOGLETRANSLATE(A179, ""de"", ""uk"")"),"Особа чоловічої статі.")</f>
        <v>Особа чоловічої статі.</v>
      </c>
    </row>
    <row r="180" ht="15.75" customHeight="1">
      <c r="A180" s="1" t="s">
        <v>176</v>
      </c>
      <c r="B180" s="2" t="str">
        <f>IFERROR(__xludf.DUMMYFUNCTION("GOOGLETRANSLATE(A180, ""de"", ""uk"")"),"Ні, людина жіночої статі.")</f>
        <v>Ні, людина жіночої статі.</v>
      </c>
    </row>
    <row r="181" ht="15.75" customHeight="1">
      <c r="A181" s="1" t="s">
        <v>177</v>
      </c>
      <c r="B181" s="2" t="str">
        <f>IFERROR(__xludf.DUMMYFUNCTION("GOOGLETRANSLATE(A181, ""de"", ""uk"")"),"Я незаміжня.")</f>
        <v>Я незаміжня.</v>
      </c>
    </row>
    <row r="182" ht="15.75" customHeight="1">
      <c r="A182" s="1" t="s">
        <v>178</v>
      </c>
      <c r="B182" s="2" t="str">
        <f>IFERROR(__xludf.DUMMYFUNCTION("GOOGLETRANSLATE(A182, ""de"", ""uk"")"),"Так, я одружений.")</f>
        <v>Так, я одружений.</v>
      </c>
    </row>
    <row r="183" ht="15.75" customHeight="1">
      <c r="A183" s="1" t="s">
        <v>179</v>
      </c>
      <c r="B183" s="2" t="str">
        <f>IFERROR(__xludf.DUMMYFUNCTION("GOOGLETRANSLATE(A183, ""de"", ""uk"")"),"Ні, я не розлучений.")</f>
        <v>Ні, я не розлучений.</v>
      </c>
    </row>
    <row r="184" ht="15.75" customHeight="1">
      <c r="A184" s="1" t="s">
        <v>180</v>
      </c>
      <c r="B184" s="2" t="str">
        <f>IFERROR(__xludf.DUMMYFUNCTION("GOOGLETRANSLATE(A184, ""de"", ""uk"")"),"Так, я овдовіла.")</f>
        <v>Так, я овдовіла.</v>
      </c>
    </row>
    <row r="185" ht="15.75" customHeight="1">
      <c r="A185" s="1" t="s">
        <v>181</v>
      </c>
      <c r="B185" s="2" t="str">
        <f>IFERROR(__xludf.DUMMYFUNCTION("GOOGLETRANSLATE(A185, ""de"", ""uk"")"),"Так, подарунок хороший.")</f>
        <v>Так, подарунок хороший.</v>
      </c>
    </row>
    <row r="186" ht="15.75" customHeight="1">
      <c r="A186" s="1" t="s">
        <v>182</v>
      </c>
      <c r="B186" s="2" t="str">
        <f>IFERROR(__xludf.DUMMYFUNCTION("GOOGLETRANSLATE(A186, ""de"", ""uk"")"),"Ні, подарунок поганий.")</f>
        <v>Ні, подарунок поганий.</v>
      </c>
    </row>
    <row r="187" ht="15.75" customHeight="1">
      <c r="A187" s="1" t="s">
        <v>183</v>
      </c>
      <c r="B187" s="2" t="str">
        <f>IFERROR(__xludf.DUMMYFUNCTION("GOOGLETRANSLATE(A187, ""de"", ""uk"")"),"Ні, це не приватне.")</f>
        <v>Ні, це не приватне.</v>
      </c>
    </row>
    <row r="188" ht="15.75" customHeight="1">
      <c r="A188" s="1" t="s">
        <v>184</v>
      </c>
      <c r="B188" s="2" t="str">
        <f>IFERROR(__xludf.DUMMYFUNCTION("GOOGLETRANSLATE(A188, ""de"", ""uk"")"),"Ні, я не розмовляю німецькою.")</f>
        <v>Ні, я не розмовляю німецькою.</v>
      </c>
    </row>
    <row r="189" ht="15.75" customHeight="1">
      <c r="A189" s="1" t="s">
        <v>185</v>
      </c>
      <c r="B189" s="2" t="str">
        <f>IFERROR(__xludf.DUMMYFUNCTION("GOOGLETRANSLATE(A189, ""de"", ""uk"")"),"Я трохи розмовляю німецькою.")</f>
        <v>Я трохи розмовляю німецькою.</v>
      </c>
    </row>
    <row r="190" ht="15.75" customHeight="1">
      <c r="A190" s="1" t="s">
        <v>186</v>
      </c>
      <c r="B190" s="2" t="str">
        <f>IFERROR(__xludf.DUMMYFUNCTION("GOOGLETRANSLATE(A190, ""de"", ""uk"")"),"Так, дівчина красива.")</f>
        <v>Так, дівчина красива.</v>
      </c>
    </row>
    <row r="191" ht="15.75" customHeight="1">
      <c r="A191" s="1" t="s">
        <v>187</v>
      </c>
      <c r="B191" s="2" t="str">
        <f>IFERROR(__xludf.DUMMYFUNCTION("GOOGLETRANSLATE(A191, ""de"", ""uk"")"),"Хто ця жінка?")</f>
        <v>Хто ця жінка?</v>
      </c>
    </row>
    <row r="192" ht="15.75" customHeight="1">
      <c r="A192" s="1" t="s">
        <v>188</v>
      </c>
      <c r="B192" s="2" t="str">
        <f>IFERROR(__xludf.DUMMYFUNCTION("GOOGLETRANSLATE(A192, ""de"", ""uk"")"),"Так, що це?")</f>
        <v>Так, що це?</v>
      </c>
    </row>
    <row r="193" ht="15.75" customHeight="1">
      <c r="A193" s="1" t="s">
        <v>189</v>
      </c>
      <c r="B193" s="2" t="str">
        <f>IFERROR(__xludf.DUMMYFUNCTION("GOOGLETRANSLATE(A193, ""de"", ""uk"")"),"ти звідки")</f>
        <v>ти звідки</v>
      </c>
    </row>
    <row r="194" ht="15.75" customHeight="1">
      <c r="A194" s="1" t="s">
        <v>190</v>
      </c>
      <c r="B194" s="2" t="str">
        <f>IFERROR(__xludf.DUMMYFUNCTION("GOOGLETRANSLATE(A194, ""de"", ""uk"")"),"Яка дитина її?")</f>
        <v>Яка дитина її?</v>
      </c>
    </row>
    <row r="195" ht="15.75" customHeight="1">
      <c r="A195" s="1" t="s">
        <v>191</v>
      </c>
      <c r="B195" s="2" t="str">
        <f>IFERROR(__xludf.DUMMYFUNCTION("GOOGLETRANSLATE(A195, ""de"", ""uk"")"),"Як вони називаються?")</f>
        <v>Як вони називаються?</v>
      </c>
    </row>
    <row r="196" ht="15.75" customHeight="1">
      <c r="A196" s="3" t="s">
        <v>192</v>
      </c>
      <c r="B196" s="2" t="str">
        <f>IFERROR(__xludf.DUMMYFUNCTION("GOOGLETRANSLATE(A196, ""de"", ""uk"")"),"Привіт, я Мартін.")</f>
        <v>Привіт, я Мартін.</v>
      </c>
    </row>
    <row r="197" ht="15.75" customHeight="1">
      <c r="A197" s="3" t="s">
        <v>193</v>
      </c>
      <c r="B197" s="2" t="str">
        <f>IFERROR(__xludf.DUMMYFUNCTION("GOOGLETRANSLATE(A197, ""de"", ""uk"")"),"Доброго дня, пані Мюллер.")</f>
        <v>Доброго дня, пані Мюллер.</v>
      </c>
    </row>
    <row r="198" ht="15.75" customHeight="1">
      <c r="A198" s="1" t="s">
        <v>194</v>
      </c>
      <c r="B198" s="2" t="str">
        <f>IFERROR(__xludf.DUMMYFUNCTION("GOOGLETRANSLATE(A198, ""de"", ""uk"")"),"З днем ​​народження")</f>
        <v>З днем ​​народження</v>
      </c>
    </row>
    <row r="199" ht="15.75" customHeight="1">
      <c r="A199" s="1" t="s">
        <v>195</v>
      </c>
      <c r="B199" s="2" t="str">
        <f>IFERROR(__xludf.DUMMYFUNCTION("GOOGLETRANSLATE(A199, ""de"", ""uk"")"),"Будь ласка")</f>
        <v>Будь ласка</v>
      </c>
    </row>
    <row r="200" ht="15.75" customHeight="1">
      <c r="A200" s="1" t="s">
        <v>196</v>
      </c>
      <c r="B200" s="2" t="str">
        <f>IFERROR(__xludf.DUMMYFUNCTION("GOOGLETRANSLATE(A200, ""de"", ""uk"")"),"Дякуємо за подарунок.")</f>
        <v>Дякуємо за подарунок.</v>
      </c>
    </row>
    <row r="201" ht="15.75" customHeight="1">
      <c r="A201" s="1" t="s">
        <v>197</v>
      </c>
      <c r="B201" s="2" t="str">
        <f>IFERROR(__xludf.DUMMYFUNCTION("GOOGLETRANSLATE(A201, ""de"", ""uk"")"),"до побачення")</f>
        <v>до побачення</v>
      </c>
    </row>
    <row r="202" ht="15.75" customHeight="1">
      <c r="A202" s="1" t="s">
        <v>198</v>
      </c>
      <c r="B202" s="2" t="str">
        <f>IFERROR(__xludf.DUMMYFUNCTION("GOOGLETRANSLATE(A202, ""de"", ""uk"")"),"до побачення")</f>
        <v>до побачення</v>
      </c>
    </row>
    <row r="203" ht="15.75" customHeight="1">
      <c r="A203" s="1" t="s">
        <v>199</v>
      </c>
      <c r="B203" s="2" t="str">
        <f>IFERROR(__xludf.DUMMYFUNCTION("GOOGLETRANSLATE(A203, ""de"", ""uk"")"),"Так, я Томас.")</f>
        <v>Так, я Томас.</v>
      </c>
    </row>
    <row r="204" ht="15.75" customHeight="1">
      <c r="A204" s="1" t="s">
        <v>200</v>
      </c>
      <c r="B204" s="2" t="str">
        <f>IFERROR(__xludf.DUMMYFUNCTION("GOOGLETRANSLATE(A204, ""de"", ""uk"")"),"Ні, я не Омар.")</f>
        <v>Ні, я не Омар.</v>
      </c>
    </row>
    <row r="205" ht="15.75" customHeight="1">
      <c r="A205" s="1" t="s">
        <v>201</v>
      </c>
      <c r="B205" s="2" t="str">
        <f>IFERROR(__xludf.DUMMYFUNCTION("GOOGLETRANSLATE(A205, ""de"", ""uk"")"),"Вибачте.")</f>
        <v>Вибачте.</v>
      </c>
    </row>
    <row r="206" ht="15.75" customHeight="1">
      <c r="A206" s="1" t="s">
        <v>202</v>
      </c>
      <c r="B206" s="2" t="str">
        <f>IFERROR(__xludf.DUMMYFUNCTION("GOOGLETRANSLATE(A206, ""de"", ""uk"")"),"Ласкаво просимо до Німеччини.")</f>
        <v>Ласкаво просимо до Німеччини.</v>
      </c>
    </row>
    <row r="207" ht="15.75" customHeight="1">
      <c r="A207" s="1" t="s">
        <v>203</v>
      </c>
      <c r="B207" s="2" t="str">
        <f>IFERROR(__xludf.DUMMYFUNCTION("GOOGLETRANSLATE(A207, ""de"", ""uk"")"),"Я також родом з Німеччини.")</f>
        <v>Я також родом з Німеччини.</v>
      </c>
    </row>
    <row r="208" ht="15.75" customHeight="1">
      <c r="A208" s="1" t="s">
        <v>204</v>
      </c>
      <c r="B208" s="2" t="str">
        <f>IFERROR(__xludf.DUMMYFUNCTION("GOOGLETRANSLATE(A208, ""de"", ""uk"")"),"Володію німецькою та арабською мовами.")</f>
        <v>Володію німецькою та арабською мовами.</v>
      </c>
    </row>
    <row r="209" ht="15.75" customHeight="1">
      <c r="A209" s="1" t="s">
        <v>205</v>
      </c>
      <c r="B209" s="2" t="str">
        <f>IFERROR(__xludf.DUMMYFUNCTION("GOOGLETRANSLATE(A209, ""de"", ""uk"")"),"ранок")</f>
        <v>ранок</v>
      </c>
    </row>
    <row r="210" ht="15.75" customHeight="1">
      <c r="A210" s="1" t="s">
        <v>206</v>
      </c>
      <c r="B210" s="2" t="str">
        <f>IFERROR(__xludf.DUMMYFUNCTION("GOOGLETRANSLATE(A210, ""de"", ""uk"")"),"пізніше")</f>
        <v>пізніше</v>
      </c>
    </row>
    <row r="211" ht="15.75" customHeight="1">
      <c r="A211" s="1" t="s">
        <v>207</v>
      </c>
      <c r="B211" s="2" t="str">
        <f>IFERROR(__xludf.DUMMYFUNCTION("GOOGLETRANSLATE(A211, ""de"", ""uk"")"),"вчасно")</f>
        <v>вчасно</v>
      </c>
    </row>
    <row r="212" ht="15.75" customHeight="1">
      <c r="A212" s="1" t="s">
        <v>208</v>
      </c>
      <c r="B212" s="2" t="str">
        <f>IFERROR(__xludf.DUMMYFUNCTION("GOOGLETRANSLATE(A212, ""de"", ""uk"")"),"занадто пізно")</f>
        <v>занадто пізно</v>
      </c>
    </row>
    <row r="213" ht="15.75" customHeight="1">
      <c r="A213" s="1" t="s">
        <v>209</v>
      </c>
      <c r="B213" s="2" t="str">
        <f>IFERROR(__xludf.DUMMYFUNCTION("GOOGLETRANSLATE(A213, ""de"", ""uk"")"),"година")</f>
        <v>година</v>
      </c>
    </row>
    <row r="214" ht="15.75" customHeight="1">
      <c r="A214" s="1" t="s">
        <v>210</v>
      </c>
      <c r="B214" s="2" t="str">
        <f>IFERROR(__xludf.DUMMYFUNCTION("GOOGLETRANSLATE(A214, ""de"", ""uk"")"),"півгодини")</f>
        <v>півгодини</v>
      </c>
    </row>
    <row r="215" ht="15.75" customHeight="1">
      <c r="A215" s="1" t="s">
        <v>211</v>
      </c>
      <c r="B215" s="2" t="str">
        <f>IFERROR(__xludf.DUMMYFUNCTION("GOOGLETRANSLATE(A215, ""de"", ""uk"")"),"чверть години")</f>
        <v>чверть години</v>
      </c>
    </row>
    <row r="216" ht="15.75" customHeight="1">
      <c r="A216" s="1" t="s">
        <v>212</v>
      </c>
      <c r="B216" s="2" t="str">
        <f>IFERROR(__xludf.DUMMYFUNCTION("GOOGLETRANSLATE(A216, ""de"", ""uk"")"),"хвилина")</f>
        <v>хвилина</v>
      </c>
    </row>
    <row r="217" ht="15.75" customHeight="1">
      <c r="A217" s="1" t="s">
        <v>213</v>
      </c>
      <c r="B217" s="2" t="str">
        <f>IFERROR(__xludf.DUMMYFUNCTION("GOOGLETRANSLATE(A217, ""de"", ""uk"")"),"другий")</f>
        <v>другий</v>
      </c>
    </row>
    <row r="218" ht="15.75" customHeight="1">
      <c r="A218" s="1" t="s">
        <v>214</v>
      </c>
      <c r="B218" s="2" t="str">
        <f>IFERROR(__xludf.DUMMYFUNCTION("GOOGLETRANSLATE(A218, ""de"", ""uk"")"),"рано")</f>
        <v>рано</v>
      </c>
    </row>
    <row r="219" ht="15.75" customHeight="1">
      <c r="A219" s="1" t="s">
        <v>215</v>
      </c>
      <c r="B219" s="2" t="str">
        <f>IFERROR(__xludf.DUMMYFUNCTION("GOOGLETRANSLATE(A219, ""de"", ""uk"")"),"пізно")</f>
        <v>пізно</v>
      </c>
    </row>
    <row r="220" ht="15.75" customHeight="1">
      <c r="A220" s="1" t="s">
        <v>216</v>
      </c>
      <c r="B220" s="2" t="str">
        <f>IFERROR(__xludf.DUMMYFUNCTION("GOOGLETRANSLATE(A220, ""de"", ""uk"")"),"час")</f>
        <v>час</v>
      </c>
    </row>
    <row r="221" ht="15.75" customHeight="1">
      <c r="A221" s="1" t="s">
        <v>217</v>
      </c>
      <c r="B221" s="2" t="str">
        <f>IFERROR(__xludf.DUMMYFUNCTION("GOOGLETRANSLATE(A221, ""de"", ""uk"")"),"оскільки")</f>
        <v>оскільки</v>
      </c>
    </row>
    <row r="222" ht="15.75" customHeight="1">
      <c r="A222" s="1" t="s">
        <v>218</v>
      </c>
      <c r="B222" s="2" t="str">
        <f>IFERROR(__xludf.DUMMYFUNCTION("GOOGLETRANSLATE(A222, ""de"", ""uk"")"),"сьогодні")</f>
        <v>сьогодні</v>
      </c>
    </row>
    <row r="223" ht="15.75" customHeight="1">
      <c r="A223" s="1" t="s">
        <v>219</v>
      </c>
      <c r="B223" s="2" t="str">
        <f>IFERROR(__xludf.DUMMYFUNCTION("GOOGLETRANSLATE(A223, ""de"", ""uk"")"),"вчора")</f>
        <v>вчора</v>
      </c>
    </row>
    <row r="224" ht="15.75" customHeight="1">
      <c r="A224" s="1" t="s">
        <v>220</v>
      </c>
      <c r="B224" s="2" t="str">
        <f>IFERROR(__xludf.DUMMYFUNCTION("GOOGLETRANSLATE(A224, ""de"", ""uk"")"),"позавчора")</f>
        <v>позавчора</v>
      </c>
    </row>
    <row r="225" ht="15.75" customHeight="1">
      <c r="A225" s="1" t="s">
        <v>221</v>
      </c>
      <c r="B225" s="2" t="str">
        <f>IFERROR(__xludf.DUMMYFUNCTION("GOOGLETRANSLATE(A225, ""de"", ""uk"")"),"ранок")</f>
        <v>ранок</v>
      </c>
    </row>
    <row r="226" ht="15.75" customHeight="1">
      <c r="A226" s="1" t="s">
        <v>222</v>
      </c>
      <c r="B226" s="2" t="str">
        <f>IFERROR(__xludf.DUMMYFUNCTION("GOOGLETRANSLATE(A226, ""de"", ""uk"")"),"післязавтра")</f>
        <v>післязавтра</v>
      </c>
    </row>
    <row r="227" ht="15.75" customHeight="1">
      <c r="A227" s="1" t="s">
        <v>223</v>
      </c>
      <c r="B227" s="2" t="str">
        <f>IFERROR(__xludf.DUMMYFUNCTION("GOOGLETRANSLATE(A227, ""de"", ""uk"")"),"ранок")</f>
        <v>ранок</v>
      </c>
    </row>
    <row r="228" ht="15.75" customHeight="1">
      <c r="A228" s="1" t="s">
        <v>224</v>
      </c>
      <c r="B228" s="2" t="str">
        <f>IFERROR(__xludf.DUMMYFUNCTION("GOOGLETRANSLATE(A228, ""de"", ""uk"")"),"опівдні")</f>
        <v>опівдні</v>
      </c>
    </row>
    <row r="229" ht="15.75" customHeight="1">
      <c r="A229" s="1" t="s">
        <v>207</v>
      </c>
      <c r="B229" s="2" t="str">
        <f>IFERROR(__xludf.DUMMYFUNCTION("GOOGLETRANSLATE(A229, ""de"", ""uk"")"),"вчасно")</f>
        <v>вчасно</v>
      </c>
    </row>
    <row r="230" ht="15.75" customHeight="1">
      <c r="A230" s="1" t="s">
        <v>225</v>
      </c>
      <c r="B230" s="2" t="str">
        <f>IFERROR(__xludf.DUMMYFUNCTION("GOOGLETRANSLATE(A230, ""de"", ""uk"")"),"ввечері")</f>
        <v>ввечері</v>
      </c>
    </row>
    <row r="231" ht="15.75" customHeight="1">
      <c r="A231" s="1" t="s">
        <v>226</v>
      </c>
      <c r="B231" s="2" t="str">
        <f>IFERROR(__xludf.DUMMYFUNCTION("GOOGLETRANSLATE(A231, ""de"", ""uk"")"),"протягом дня")</f>
        <v>протягом дня</v>
      </c>
    </row>
    <row r="232" ht="15.75" customHeight="1">
      <c r="A232" s="1" t="s">
        <v>227</v>
      </c>
      <c r="B232" s="2" t="str">
        <f>IFERROR(__xludf.DUMMYFUNCTION("GOOGLETRANSLATE(A232, ""de"", ""uk"")"),"вночі")</f>
        <v>вночі</v>
      </c>
    </row>
    <row r="233" ht="15.75" customHeight="1">
      <c r="A233" s="1" t="s">
        <v>228</v>
      </c>
      <c r="B233" s="2" t="str">
        <f>IFERROR(__xludf.DUMMYFUNCTION("GOOGLETRANSLATE(A233, ""de"", ""uk"")"),"полудень")</f>
        <v>полудень</v>
      </c>
    </row>
    <row r="234" ht="15.75" customHeight="1">
      <c r="A234" s="1" t="s">
        <v>229</v>
      </c>
      <c r="B234" s="2" t="str">
        <f>IFERROR(__xludf.DUMMYFUNCTION("GOOGLETRANSLATE(A234, ""de"", ""uk"")"),"тепер")</f>
        <v>тепер</v>
      </c>
    </row>
    <row r="235" ht="15.75" customHeight="1">
      <c r="A235" s="1" t="s">
        <v>230</v>
      </c>
      <c r="B235" s="2" t="str">
        <f>IFERROR(__xludf.DUMMYFUNCTION("GOOGLETRANSLATE(A235, ""de"", ""uk"")"),"завжди")</f>
        <v>завжди</v>
      </c>
    </row>
    <row r="236" ht="15.75" customHeight="1">
      <c r="A236" s="1" t="s">
        <v>231</v>
      </c>
      <c r="B236" s="2" t="str">
        <f>IFERROR(__xludf.DUMMYFUNCTION("GOOGLETRANSLATE(A236, ""de"", ""uk"")"),"наступний")</f>
        <v>наступний</v>
      </c>
    </row>
    <row r="237" ht="15.75" customHeight="1">
      <c r="A237" s="1" t="s">
        <v>232</v>
      </c>
      <c r="B237" s="2" t="str">
        <f>IFERROR(__xludf.DUMMYFUNCTION("GOOGLETRANSLATE(A237, ""de"", ""uk"")"),"погодинно")</f>
        <v>погодинно</v>
      </c>
    </row>
    <row r="238" ht="15.75" customHeight="1">
      <c r="A238" s="1" t="s">
        <v>233</v>
      </c>
      <c r="B238" s="2" t="str">
        <f>IFERROR(__xludf.DUMMYFUNCTION("GOOGLETRANSLATE(A238, ""de"", ""uk"")"),"щодня")</f>
        <v>щодня</v>
      </c>
    </row>
    <row r="239" ht="15.75" customHeight="1">
      <c r="A239" s="1" t="s">
        <v>234</v>
      </c>
      <c r="B239" s="2" t="str">
        <f>IFERROR(__xludf.DUMMYFUNCTION("GOOGLETRANSLATE(A239, ""de"", ""uk"")"),"перший")</f>
        <v>перший</v>
      </c>
    </row>
    <row r="240" ht="15.75" customHeight="1">
      <c r="A240" s="1" t="s">
        <v>235</v>
      </c>
      <c r="B240" s="2" t="str">
        <f>IFERROR(__xludf.DUMMYFUNCTION("GOOGLETRANSLATE(A240, ""de"", ""uk"")"),"Коли")</f>
        <v>Коли</v>
      </c>
    </row>
    <row r="241" ht="15.75" customHeight="1">
      <c r="A241" s="1" t="s">
        <v>236</v>
      </c>
      <c r="B241" s="2" t="str">
        <f>IFERROR(__xludf.DUMMYFUNCTION("GOOGLETRANSLATE(A241, ""de"", ""uk"")"),"нуль")</f>
        <v>нуль</v>
      </c>
    </row>
    <row r="242" ht="15.75" customHeight="1">
      <c r="A242" s="1" t="s">
        <v>237</v>
      </c>
      <c r="B242" s="2" t="str">
        <f>IFERROR(__xludf.DUMMYFUNCTION("GOOGLETRANSLATE(A242, ""de"", ""uk"")"),"один")</f>
        <v>один</v>
      </c>
    </row>
    <row r="243" ht="15.75" customHeight="1">
      <c r="A243" s="1" t="s">
        <v>238</v>
      </c>
      <c r="B243" s="2" t="str">
        <f>IFERROR(__xludf.DUMMYFUNCTION("GOOGLETRANSLATE(A243, ""de"", ""uk"")"),"два")</f>
        <v>два</v>
      </c>
    </row>
    <row r="244" ht="15.75" customHeight="1">
      <c r="A244" s="1" t="s">
        <v>239</v>
      </c>
      <c r="B244" s="2" t="str">
        <f>IFERROR(__xludf.DUMMYFUNCTION("GOOGLETRANSLATE(A244, ""de"", ""uk"")"),"три")</f>
        <v>три</v>
      </c>
    </row>
    <row r="245" ht="15.75" customHeight="1">
      <c r="A245" s="1" t="s">
        <v>240</v>
      </c>
      <c r="B245" s="2" t="str">
        <f>IFERROR(__xludf.DUMMYFUNCTION("GOOGLETRANSLATE(A245, ""de"", ""uk"")"),"чотири")</f>
        <v>чотири</v>
      </c>
    </row>
    <row r="246" ht="15.75" customHeight="1">
      <c r="A246" s="1" t="s">
        <v>241</v>
      </c>
      <c r="B246" s="2" t="str">
        <f>IFERROR(__xludf.DUMMYFUNCTION("GOOGLETRANSLATE(A246, ""de"", ""uk"")"),"п'ять")</f>
        <v>п'ять</v>
      </c>
    </row>
    <row r="247" ht="15.75" customHeight="1">
      <c r="A247" s="1" t="s">
        <v>242</v>
      </c>
      <c r="B247" s="2" t="str">
        <f>IFERROR(__xludf.DUMMYFUNCTION("GOOGLETRANSLATE(A247, ""de"", ""uk"")"),"шість")</f>
        <v>шість</v>
      </c>
    </row>
    <row r="248" ht="15.75" customHeight="1">
      <c r="A248" s="1" t="s">
        <v>243</v>
      </c>
      <c r="B248" s="2" t="str">
        <f>IFERROR(__xludf.DUMMYFUNCTION("GOOGLETRANSLATE(A248, ""de"", ""uk"")"),"сім")</f>
        <v>сім</v>
      </c>
    </row>
    <row r="249" ht="15.75" customHeight="1">
      <c r="A249" s="1" t="s">
        <v>244</v>
      </c>
      <c r="B249" s="2" t="str">
        <f>IFERROR(__xludf.DUMMYFUNCTION("GOOGLETRANSLATE(A249, ""de"", ""uk"")"),"вісім")</f>
        <v>вісім</v>
      </c>
    </row>
    <row r="250" ht="15.75" customHeight="1">
      <c r="A250" s="1" t="s">
        <v>245</v>
      </c>
      <c r="B250" s="2" t="str">
        <f>IFERROR(__xludf.DUMMYFUNCTION("GOOGLETRANSLATE(A250, ""de"", ""uk"")"),"дев'ять")</f>
        <v>дев'ять</v>
      </c>
    </row>
    <row r="251" ht="15.75" customHeight="1">
      <c r="A251" s="1" t="s">
        <v>246</v>
      </c>
      <c r="B251" s="2" t="str">
        <f>IFERROR(__xludf.DUMMYFUNCTION("GOOGLETRANSLATE(A251, ""de"", ""uk"")"),"десять")</f>
        <v>десять</v>
      </c>
    </row>
    <row r="252" ht="15.75" customHeight="1">
      <c r="A252" s="1" t="s">
        <v>247</v>
      </c>
      <c r="B252" s="2" t="str">
        <f>IFERROR(__xludf.DUMMYFUNCTION("GOOGLETRANSLATE(A252, ""de"", ""uk"")"),"одинадцять")</f>
        <v>одинадцять</v>
      </c>
    </row>
    <row r="253" ht="15.75" customHeight="1">
      <c r="A253" s="1" t="s">
        <v>248</v>
      </c>
      <c r="B253" s="2" t="str">
        <f>IFERROR(__xludf.DUMMYFUNCTION("GOOGLETRANSLATE(A253, ""de"", ""uk"")"),"номер")</f>
        <v>номер</v>
      </c>
    </row>
    <row r="254" ht="15.75" customHeight="1">
      <c r="A254" s="1" t="s">
        <v>249</v>
      </c>
      <c r="B254" s="2" t="str">
        <f>IFERROR(__xludf.DUMMYFUNCTION("GOOGLETRANSLATE(A254, ""de"", ""uk"")"),"сто")</f>
        <v>сто</v>
      </c>
    </row>
    <row r="255" ht="15.75" customHeight="1">
      <c r="A255" s="1" t="s">
        <v>250</v>
      </c>
      <c r="B255" s="2" t="str">
        <f>IFERROR(__xludf.DUMMYFUNCTION("GOOGLETRANSLATE(A255, ""de"", ""uk"")"),"сто один")</f>
        <v>сто один</v>
      </c>
    </row>
    <row r="256" ht="15.75" customHeight="1">
      <c r="A256" s="1" t="s">
        <v>251</v>
      </c>
      <c r="B256" s="2" t="str">
        <f>IFERROR(__xludf.DUMMYFUNCTION("GOOGLETRANSLATE(A256, ""de"", ""uk"")"),"двісті")</f>
        <v>двісті</v>
      </c>
    </row>
    <row r="257" ht="15.75" customHeight="1">
      <c r="A257" s="1" t="s">
        <v>252</v>
      </c>
      <c r="B257" s="2" t="str">
        <f>IFERROR(__xludf.DUMMYFUNCTION("GOOGLETRANSLATE(A257, ""de"", ""uk"")"),"тисячі")</f>
        <v>тисячі</v>
      </c>
    </row>
    <row r="258" ht="15.75" customHeight="1">
      <c r="A258" s="1" t="s">
        <v>253</v>
      </c>
      <c r="B258" s="2" t="str">
        <f>IFERROR(__xludf.DUMMYFUNCTION("GOOGLETRANSLATE(A258, ""de"", ""uk"")"),"мільйон")</f>
        <v>мільйон</v>
      </c>
    </row>
    <row r="259" ht="15.75" customHeight="1">
      <c r="A259" s="1" t="s">
        <v>254</v>
      </c>
      <c r="B259" s="2" t="str">
        <f>IFERROR(__xludf.DUMMYFUNCTION("GOOGLETRANSLATE(A259, ""de"", ""uk"")"),"мільярд")</f>
        <v>мільярд</v>
      </c>
    </row>
    <row r="260" ht="15.75" customHeight="1">
      <c r="A260" s="1" t="s">
        <v>255</v>
      </c>
      <c r="B260" s="2" t="str">
        <f>IFERROR(__xludf.DUMMYFUNCTION("GOOGLETRANSLATE(A260, ""de"", ""uk"")"),"дев'ятнадцять")</f>
        <v>дев'ятнадцять</v>
      </c>
    </row>
    <row r="261" ht="15.75" customHeight="1">
      <c r="A261" s="1" t="s">
        <v>256</v>
      </c>
      <c r="B261" s="2" t="str">
        <f>IFERROR(__xludf.DUMMYFUNCTION("GOOGLETRANSLATE(A261, ""de"", ""uk"")"),"примусово")</f>
        <v>примусово</v>
      </c>
    </row>
    <row r="262" ht="15.75" customHeight="1">
      <c r="A262" s="1" t="s">
        <v>257</v>
      </c>
      <c r="B262" s="2" t="str">
        <f>IFERROR(__xludf.DUMMYFUNCTION("GOOGLETRANSLATE(A262, ""de"", ""uk"")"),"двадцять один")</f>
        <v>двадцять один</v>
      </c>
    </row>
    <row r="263" ht="15.75" customHeight="1">
      <c r="A263" s="1" t="s">
        <v>258</v>
      </c>
      <c r="B263" s="2" t="str">
        <f>IFERROR(__xludf.DUMMYFUNCTION("GOOGLETRANSLATE(A263, ""de"", ""uk"")"),"тридцять")</f>
        <v>тридцять</v>
      </c>
    </row>
    <row r="264" ht="15.75" customHeight="1">
      <c r="A264" s="1" t="s">
        <v>259</v>
      </c>
      <c r="B264" s="2" t="str">
        <f>IFERROR(__xludf.DUMMYFUNCTION("GOOGLETRANSLATE(A264, ""de"", ""uk"")"),"сорок")</f>
        <v>сорок</v>
      </c>
    </row>
    <row r="265" ht="15.75" customHeight="1">
      <c r="A265" s="1" t="s">
        <v>260</v>
      </c>
      <c r="B265" s="2" t="str">
        <f>IFERROR(__xludf.DUMMYFUNCTION("GOOGLETRANSLATE(A265, ""de"", ""uk"")"),"п'ятдесят")</f>
        <v>п'ятдесят</v>
      </c>
    </row>
    <row r="266" ht="15.75" customHeight="1">
      <c r="A266" s="1" t="s">
        <v>261</v>
      </c>
      <c r="B266" s="2" t="str">
        <f>IFERROR(__xludf.DUMMYFUNCTION("GOOGLETRANSLATE(A266, ""de"", ""uk"")"),"шістдесят")</f>
        <v>шістдесят</v>
      </c>
    </row>
    <row r="267" ht="15.75" customHeight="1">
      <c r="A267" s="1" t="s">
        <v>262</v>
      </c>
      <c r="B267" s="2" t="str">
        <f>IFERROR(__xludf.DUMMYFUNCTION("GOOGLETRANSLATE(A267, ""de"", ""uk"")"),"сімдесят")</f>
        <v>сімдесят</v>
      </c>
    </row>
    <row r="268" ht="15.75" customHeight="1">
      <c r="A268" s="1" t="s">
        <v>263</v>
      </c>
      <c r="B268" s="2" t="str">
        <f>IFERROR(__xludf.DUMMYFUNCTION("GOOGLETRANSLATE(A268, ""de"", ""uk"")"),"вісімдесят")</f>
        <v>вісімдесят</v>
      </c>
    </row>
    <row r="269" ht="15.75" customHeight="1">
      <c r="A269" s="1" t="s">
        <v>264</v>
      </c>
      <c r="B269" s="2" t="str">
        <f>IFERROR(__xludf.DUMMYFUNCTION("GOOGLETRANSLATE(A269, ""de"", ""uk"")"),"дев'яносто")</f>
        <v>дев'яносто</v>
      </c>
    </row>
    <row r="270" ht="15.75" customHeight="1">
      <c r="A270" s="1" t="s">
        <v>265</v>
      </c>
      <c r="B270" s="2" t="str">
        <f>IFERROR(__xludf.DUMMYFUNCTION("GOOGLETRANSLATE(A270, ""de"", ""uk"")"),"плюс")</f>
        <v>плюс</v>
      </c>
    </row>
    <row r="271" ht="15.75" customHeight="1">
      <c r="A271" s="1" t="s">
        <v>266</v>
      </c>
      <c r="B271" s="2" t="str">
        <f>IFERROR(__xludf.DUMMYFUNCTION("GOOGLETRANSLATE(A271, ""de"", ""uk"")"),"мінус")</f>
        <v>мінус</v>
      </c>
    </row>
    <row r="272" ht="15.75" customHeight="1">
      <c r="A272" s="1" t="s">
        <v>267</v>
      </c>
      <c r="B272" s="2" t="str">
        <f>IFERROR(__xludf.DUMMYFUNCTION("GOOGLETRANSLATE(A272, ""de"", ""uk"")"),"розділений")</f>
        <v>розділений</v>
      </c>
    </row>
    <row r="273" ht="15.75" customHeight="1">
      <c r="A273" s="1" t="s">
        <v>268</v>
      </c>
      <c r="B273" s="2" t="str">
        <f>IFERROR(__xludf.DUMMYFUNCTION("GOOGLETRANSLATE(A273, ""de"", ""uk"")"),"просто")</f>
        <v>просто</v>
      </c>
    </row>
    <row r="274" ht="15.75" customHeight="1">
      <c r="A274" s="1" t="s">
        <v>269</v>
      </c>
      <c r="B274" s="2" t="str">
        <f>IFERROR(__xludf.DUMMYFUNCTION("GOOGLETRANSLATE(A274, ""de"", ""uk"")"),"відсоток")</f>
        <v>відсоток</v>
      </c>
    </row>
    <row r="275" ht="15.75" customHeight="1">
      <c r="A275" s="1" t="s">
        <v>270</v>
      </c>
      <c r="B275" s="2" t="str">
        <f>IFERROR(__xludf.DUMMYFUNCTION("GOOGLETRANSLATE(A275, ""de"", ""uk"")"),"цілком")</f>
        <v>цілком</v>
      </c>
    </row>
    <row r="276" ht="15.75" customHeight="1">
      <c r="A276" s="1" t="s">
        <v>271</v>
      </c>
      <c r="B276" s="2" t="str">
        <f>IFERROR(__xludf.DUMMYFUNCTION("GOOGLETRANSLATE(A276, ""de"", ""uk"")"),"дванадцять")</f>
        <v>дванадцять</v>
      </c>
    </row>
    <row r="277" ht="15.75" customHeight="1">
      <c r="A277" s="1" t="s">
        <v>272</v>
      </c>
      <c r="B277" s="2" t="str">
        <f>IFERROR(__xludf.DUMMYFUNCTION("GOOGLETRANSLATE(A277, ""de"", ""uk"")"),"тринадцять")</f>
        <v>тринадцять</v>
      </c>
    </row>
    <row r="278" ht="15.75" customHeight="1">
      <c r="A278" s="1" t="s">
        <v>273</v>
      </c>
      <c r="B278" s="2" t="str">
        <f>IFERROR(__xludf.DUMMYFUNCTION("GOOGLETRANSLATE(A278, ""de"", ""uk"")"),"чотирнадцять")</f>
        <v>чотирнадцять</v>
      </c>
    </row>
    <row r="279" ht="15.75" customHeight="1">
      <c r="A279" s="1" t="s">
        <v>274</v>
      </c>
      <c r="B279" s="2" t="str">
        <f>IFERROR(__xludf.DUMMYFUNCTION("GOOGLETRANSLATE(A279, ""de"", ""uk"")"),"п'ятнадцять")</f>
        <v>п'ятнадцять</v>
      </c>
    </row>
    <row r="280" ht="15.75" customHeight="1">
      <c r="A280" s="1" t="s">
        <v>275</v>
      </c>
      <c r="B280" s="2" t="str">
        <f>IFERROR(__xludf.DUMMYFUNCTION("GOOGLETRANSLATE(A280, ""de"", ""uk"")"),"шістнадцять")</f>
        <v>шістнадцять</v>
      </c>
    </row>
    <row r="281" ht="15.75" customHeight="1">
      <c r="A281" s="1" t="s">
        <v>276</v>
      </c>
      <c r="B281" s="2" t="str">
        <f>IFERROR(__xludf.DUMMYFUNCTION("GOOGLETRANSLATE(A281, ""de"", ""uk"")"),"сімнадцять")</f>
        <v>сімнадцять</v>
      </c>
    </row>
    <row r="282" ht="15.75" customHeight="1">
      <c r="A282" s="1" t="s">
        <v>277</v>
      </c>
      <c r="B282" s="2" t="str">
        <f>IFERROR(__xludf.DUMMYFUNCTION("GOOGLETRANSLATE(A282, ""de"", ""uk"")"),"вісімнадцять")</f>
        <v>вісімнадцять</v>
      </c>
    </row>
    <row r="283" ht="15.75" customHeight="1">
      <c r="A283" s="1" t="s">
        <v>278</v>
      </c>
      <c r="B283" s="2" t="str">
        <f>IFERROR(__xludf.DUMMYFUNCTION("GOOGLETRANSLATE(A283, ""de"", ""uk"")"),"розрахувати")</f>
        <v>розрахувати</v>
      </c>
    </row>
    <row r="284" ht="15.75" customHeight="1">
      <c r="A284" s="1" t="s">
        <v>279</v>
      </c>
      <c r="B284" s="2" t="str">
        <f>IFERROR(__xludf.DUMMYFUNCTION("GOOGLETRANSLATE(A284, ""de"", ""uk"")"),"сон")</f>
        <v>сон</v>
      </c>
    </row>
    <row r="285" ht="15.75" customHeight="1">
      <c r="A285" s="1" t="s">
        <v>280</v>
      </c>
      <c r="B285" s="2" t="str">
        <f>IFERROR(__xludf.DUMMYFUNCTION("GOOGLETRANSLATE(A285, ""de"", ""uk"")"),"прокинутися")</f>
        <v>прокинутися</v>
      </c>
    </row>
    <row r="286" ht="15.75" customHeight="1">
      <c r="A286" s="1" t="s">
        <v>281</v>
      </c>
      <c r="B286" s="2" t="str">
        <f>IFERROR(__xludf.DUMMYFUNCTION("GOOGLETRANSLATE(A286, ""de"", ""uk"")"),"прокинутися")</f>
        <v>прокинутися</v>
      </c>
    </row>
    <row r="287" ht="15.75" customHeight="1">
      <c r="A287" s="1" t="s">
        <v>282</v>
      </c>
      <c r="B287" s="2" t="str">
        <f>IFERROR(__xludf.DUMMYFUNCTION("GOOGLETRANSLATE(A287, ""de"", ""uk"")"),"встати")</f>
        <v>встати</v>
      </c>
    </row>
    <row r="288" ht="15.75" customHeight="1">
      <c r="A288" s="1" t="s">
        <v>283</v>
      </c>
      <c r="B288" s="2" t="str">
        <f>IFERROR(__xludf.DUMMYFUNCTION("GOOGLETRANSLATE(A288, ""de"", ""uk"")"),"мати місце")</f>
        <v>мати місце</v>
      </c>
    </row>
    <row r="289" ht="15.75" customHeight="1">
      <c r="A289" s="1" t="s">
        <v>284</v>
      </c>
      <c r="B289" s="2" t="str">
        <f>IFERROR(__xludf.DUMMYFUNCTION("GOOGLETRANSLATE(A289, ""de"", ""uk"")"),"призначити побачення")</f>
        <v>призначити побачення</v>
      </c>
    </row>
    <row r="290" ht="15.75" customHeight="1">
      <c r="A290" s="1" t="s">
        <v>285</v>
      </c>
      <c r="B290" s="2" t="str">
        <f>IFERROR(__xludf.DUMMYFUNCTION("GOOGLETRANSLATE(A290, ""de"", ""uk"")"),"почати")</f>
        <v>почати</v>
      </c>
    </row>
    <row r="291" ht="15.75" customHeight="1">
      <c r="A291" s="1" t="s">
        <v>286</v>
      </c>
      <c r="B291" s="2" t="str">
        <f>IFERROR(__xludf.DUMMYFUNCTION("GOOGLETRANSLATE(A291, ""de"", ""uk"")"),"почати")</f>
        <v>почати</v>
      </c>
    </row>
    <row r="292" ht="15.75" customHeight="1">
      <c r="A292" s="1" t="s">
        <v>287</v>
      </c>
      <c r="B292" s="2" t="str">
        <f>IFERROR(__xludf.DUMMYFUNCTION("GOOGLETRANSLATE(A292, ""de"", ""uk"")"),"рахувати")</f>
        <v>рахувати</v>
      </c>
    </row>
    <row r="293" ht="15.75" customHeight="1">
      <c r="A293" s="1" t="s">
        <v>288</v>
      </c>
      <c r="B293" s="2" t="str">
        <f>IFERROR(__xludf.DUMMYFUNCTION("GOOGLETRANSLATE(A293, ""de"", ""uk"")"),"чекати")</f>
        <v>чекати</v>
      </c>
    </row>
    <row r="294" ht="15.75" customHeight="1">
      <c r="A294" s="1" t="s">
        <v>289</v>
      </c>
      <c r="B294" s="2" t="str">
        <f>IFERROR(__xludf.DUMMYFUNCTION("GOOGLETRANSLATE(A294, ""de"", ""uk"")"),"ВІДЧИНЕНО")</f>
        <v>ВІДЧИНЕНО</v>
      </c>
    </row>
    <row r="295" ht="15.75" customHeight="1">
      <c r="A295" s="1" t="s">
        <v>290</v>
      </c>
      <c r="B295" s="2" t="str">
        <f>IFERROR(__xludf.DUMMYFUNCTION("GOOGLETRANSLATE(A295, ""de"", ""uk"")"),"закрити")</f>
        <v>закрити</v>
      </c>
    </row>
    <row r="296" ht="15.75" customHeight="1">
      <c r="A296" s="1" t="s">
        <v>291</v>
      </c>
      <c r="B296" s="2" t="str">
        <f>IFERROR(__xludf.DUMMYFUNCTION("GOOGLETRANSLATE(A296, ""de"", ""uk"")"),"тиждень")</f>
        <v>тиждень</v>
      </c>
    </row>
    <row r="297" ht="15.75" customHeight="1">
      <c r="A297" s="1" t="s">
        <v>292</v>
      </c>
      <c r="B297" s="2" t="str">
        <f>IFERROR(__xludf.DUMMYFUNCTION("GOOGLETRANSLATE(A297, ""de"", ""uk"")"),"день тижня")</f>
        <v>день тижня</v>
      </c>
    </row>
    <row r="298" ht="15.75" customHeight="1">
      <c r="A298" s="1" t="s">
        <v>293</v>
      </c>
      <c r="B298" s="2" t="str">
        <f>IFERROR(__xludf.DUMMYFUNCTION("GOOGLETRANSLATE(A298, ""de"", ""uk"")"),"робочий день")</f>
        <v>робочий день</v>
      </c>
    </row>
    <row r="299" ht="15.75" customHeight="1">
      <c r="A299" s="1" t="s">
        <v>294</v>
      </c>
      <c r="B299" s="2" t="str">
        <f>IFERROR(__xludf.DUMMYFUNCTION("GOOGLETRANSLATE(A299, ""de"", ""uk"")"),"вихідні")</f>
        <v>вихідні</v>
      </c>
    </row>
    <row r="300" ht="15.75" customHeight="1">
      <c r="A300" s="1" t="s">
        <v>295</v>
      </c>
      <c r="B300" s="2" t="str">
        <f>IFERROR(__xludf.DUMMYFUNCTION("GOOGLETRANSLATE(A300, ""de"", ""uk"")"),"понеділок")</f>
        <v>понеділок</v>
      </c>
    </row>
    <row r="301" ht="15.75" customHeight="1">
      <c r="A301" s="1" t="s">
        <v>296</v>
      </c>
      <c r="B301" s="2" t="str">
        <f>IFERROR(__xludf.DUMMYFUNCTION("GOOGLETRANSLATE(A301, ""de"", ""uk"")"),"вівторок")</f>
        <v>вівторок</v>
      </c>
    </row>
    <row r="302" ht="15.75" customHeight="1">
      <c r="A302" s="1" t="s">
        <v>297</v>
      </c>
      <c r="B302" s="2" t="str">
        <f>IFERROR(__xludf.DUMMYFUNCTION("GOOGLETRANSLATE(A302, ""de"", ""uk"")"),"Середа")</f>
        <v>Середа</v>
      </c>
    </row>
    <row r="303" ht="15.75" customHeight="1">
      <c r="A303" s="1" t="s">
        <v>298</v>
      </c>
      <c r="B303" s="2" t="str">
        <f>IFERROR(__xludf.DUMMYFUNCTION("GOOGLETRANSLATE(A303, ""de"", ""uk"")"),"четвер")</f>
        <v>четвер</v>
      </c>
    </row>
    <row r="304" ht="15.75" customHeight="1">
      <c r="A304" s="1" t="s">
        <v>299</v>
      </c>
      <c r="B304" s="2" t="str">
        <f>IFERROR(__xludf.DUMMYFUNCTION("GOOGLETRANSLATE(A304, ""de"", ""uk"")"),"П'ятниця")</f>
        <v>П'ятниця</v>
      </c>
    </row>
    <row r="305" ht="15.75" customHeight="1">
      <c r="A305" s="1" t="s">
        <v>300</v>
      </c>
      <c r="B305" s="2" t="str">
        <f>IFERROR(__xludf.DUMMYFUNCTION("GOOGLETRANSLATE(A305, ""de"", ""uk"")"),"Субота")</f>
        <v>Субота</v>
      </c>
    </row>
    <row r="306" ht="15.75" customHeight="1">
      <c r="A306" s="1" t="s">
        <v>301</v>
      </c>
      <c r="B306" s="2" t="str">
        <f>IFERROR(__xludf.DUMMYFUNCTION("GOOGLETRANSLATE(A306, ""de"", ""uk"")"),"неділя")</f>
        <v>неділя</v>
      </c>
    </row>
    <row r="307" ht="15.75" customHeight="1">
      <c r="A307" s="1" t="s">
        <v>302</v>
      </c>
      <c r="B307" s="2" t="str">
        <f>IFERROR(__xludf.DUMMYFUNCTION("GOOGLETRANSLATE(A307, ""de"", ""uk"")"),"рік")</f>
        <v>рік</v>
      </c>
    </row>
    <row r="308" ht="15.75" customHeight="1">
      <c r="A308" s="1" t="s">
        <v>303</v>
      </c>
      <c r="B308" s="2" t="str">
        <f>IFERROR(__xludf.DUMMYFUNCTION("GOOGLETRANSLATE(A308, ""de"", ""uk"")"),"осінь")</f>
        <v>осінь</v>
      </c>
    </row>
    <row r="309" ht="15.75" customHeight="1">
      <c r="A309" s="1" t="s">
        <v>304</v>
      </c>
      <c r="B309" s="2" t="str">
        <f>IFERROR(__xludf.DUMMYFUNCTION("GOOGLETRANSLATE(A309, ""de"", ""uk"")"),"літо")</f>
        <v>літо</v>
      </c>
    </row>
    <row r="310" ht="15.75" customHeight="1">
      <c r="A310" s="1" t="s">
        <v>305</v>
      </c>
      <c r="B310" s="2" t="str">
        <f>IFERROR(__xludf.DUMMYFUNCTION("GOOGLETRANSLATE(A310, ""de"", ""uk"")"),"весна")</f>
        <v>весна</v>
      </c>
    </row>
    <row r="311" ht="15.75" customHeight="1">
      <c r="A311" s="1" t="s">
        <v>306</v>
      </c>
      <c r="B311" s="2" t="str">
        <f>IFERROR(__xludf.DUMMYFUNCTION("GOOGLETRANSLATE(A311, ""de"", ""uk"")"),"зима")</f>
        <v>зима</v>
      </c>
    </row>
    <row r="312" ht="15.75" customHeight="1">
      <c r="A312" s="1" t="s">
        <v>307</v>
      </c>
      <c r="B312" s="2" t="str">
        <f>IFERROR(__xludf.DUMMYFUNCTION("GOOGLETRANSLATE(A312, ""de"", ""uk"")"),"сезон")</f>
        <v>сезон</v>
      </c>
    </row>
    <row r="313" ht="15.75" customHeight="1">
      <c r="A313" s="1" t="s">
        <v>308</v>
      </c>
      <c r="B313" s="2" t="str">
        <f>IFERROR(__xludf.DUMMYFUNCTION("GOOGLETRANSLATE(A313, ""de"", ""uk"")"),"місяць")</f>
        <v>місяць</v>
      </c>
    </row>
    <row r="314" ht="15.75" customHeight="1">
      <c r="A314" s="1" t="s">
        <v>309</v>
      </c>
      <c r="B314" s="2" t="str">
        <f>IFERROR(__xludf.DUMMYFUNCTION("GOOGLETRANSLATE(A314, ""de"", ""uk"")"),"січня")</f>
        <v>січня</v>
      </c>
    </row>
    <row r="315" ht="15.75" customHeight="1">
      <c r="A315" s="1" t="s">
        <v>310</v>
      </c>
      <c r="B315" s="2" t="str">
        <f>IFERROR(__xludf.DUMMYFUNCTION("GOOGLETRANSLATE(A315, ""de"", ""uk"")"),"Лютий")</f>
        <v>Лютий</v>
      </c>
    </row>
    <row r="316" ht="15.75" customHeight="1">
      <c r="A316" s="1" t="s">
        <v>311</v>
      </c>
      <c r="B316" s="2" t="str">
        <f>IFERROR(__xludf.DUMMYFUNCTION("GOOGLETRANSLATE(A316, ""de"", ""uk"")"),"березень")</f>
        <v>березень</v>
      </c>
    </row>
    <row r="317" ht="15.75" customHeight="1">
      <c r="A317" s="1" t="s">
        <v>312</v>
      </c>
      <c r="B317" s="2" t="str">
        <f>IFERROR(__xludf.DUMMYFUNCTION("GOOGLETRANSLATE(A317, ""de"", ""uk"")"),"квітень")</f>
        <v>квітень</v>
      </c>
    </row>
    <row r="318" ht="15.75" customHeight="1">
      <c r="A318" s="1" t="s">
        <v>313</v>
      </c>
      <c r="B318" s="2" t="str">
        <f>IFERROR(__xludf.DUMMYFUNCTION("GOOGLETRANSLATE(A318, ""de"", ""uk"")"),"травня")</f>
        <v>травня</v>
      </c>
    </row>
    <row r="319" ht="15.75" customHeight="1">
      <c r="A319" s="1" t="s">
        <v>314</v>
      </c>
      <c r="B319" s="2" t="str">
        <f>IFERROR(__xludf.DUMMYFUNCTION("GOOGLETRANSLATE(A319, ""de"", ""uk"")"),"червень")</f>
        <v>червень</v>
      </c>
    </row>
    <row r="320" ht="15.75" customHeight="1">
      <c r="A320" s="1" t="s">
        <v>315</v>
      </c>
      <c r="B320" s="2" t="str">
        <f>IFERROR(__xludf.DUMMYFUNCTION("GOOGLETRANSLATE(A320, ""de"", ""uk"")"),"липень")</f>
        <v>липень</v>
      </c>
    </row>
    <row r="321" ht="15.75" customHeight="1">
      <c r="A321" s="1" t="s">
        <v>316</v>
      </c>
      <c r="B321" s="2" t="str">
        <f>IFERROR(__xludf.DUMMYFUNCTION("GOOGLETRANSLATE(A321, ""de"", ""uk"")"),"серпень")</f>
        <v>серпень</v>
      </c>
    </row>
    <row r="322" ht="15.75" customHeight="1">
      <c r="A322" s="1" t="s">
        <v>317</v>
      </c>
      <c r="B322" s="2" t="str">
        <f>IFERROR(__xludf.DUMMYFUNCTION("GOOGLETRANSLATE(A322, ""de"", ""uk"")"),"вересень")</f>
        <v>вересень</v>
      </c>
    </row>
    <row r="323" ht="15.75" customHeight="1">
      <c r="A323" s="1" t="s">
        <v>318</v>
      </c>
      <c r="B323" s="2" t="str">
        <f>IFERROR(__xludf.DUMMYFUNCTION("GOOGLETRANSLATE(A323, ""de"", ""uk"")"),"жовтень")</f>
        <v>жовтень</v>
      </c>
    </row>
    <row r="324" ht="15.75" customHeight="1">
      <c r="A324" s="1" t="s">
        <v>319</v>
      </c>
      <c r="B324" s="2" t="str">
        <f>IFERROR(__xludf.DUMMYFUNCTION("GOOGLETRANSLATE(A324, ""de"", ""uk"")"),"листопад")</f>
        <v>листопад</v>
      </c>
    </row>
    <row r="325" ht="15.75" customHeight="1">
      <c r="A325" s="1" t="s">
        <v>320</v>
      </c>
      <c r="B325" s="2" t="str">
        <f>IFERROR(__xludf.DUMMYFUNCTION("GOOGLETRANSLATE(A325, ""de"", ""uk"")"),"грудень")</f>
        <v>грудень</v>
      </c>
    </row>
    <row r="326" ht="15.75" customHeight="1">
      <c r="A326" s="1" t="s">
        <v>321</v>
      </c>
      <c r="B326" s="2" t="str">
        <f>IFERROR(__xludf.DUMMYFUNCTION("GOOGLETRANSLATE(A326, ""de"", ""uk"")"),"ніч")</f>
        <v>ніч</v>
      </c>
    </row>
    <row r="327" ht="15.75" customHeight="1">
      <c r="A327" s="1" t="s">
        <v>322</v>
      </c>
      <c r="B327" s="2" t="str">
        <f>IFERROR(__xludf.DUMMYFUNCTION("GOOGLETRANSLATE(A327, ""de"", ""uk"")"),"доброго ранку")</f>
        <v>доброго ранку</v>
      </c>
    </row>
    <row r="328" ht="15.75" customHeight="1">
      <c r="A328" s="1" t="s">
        <v>323</v>
      </c>
      <c r="B328" s="2" t="str">
        <f>IFERROR(__xludf.DUMMYFUNCTION("GOOGLETRANSLATE(A328, ""de"", ""uk"")"),"добрий вечір")</f>
        <v>добрий вечір</v>
      </c>
    </row>
    <row r="329" ht="15.75" customHeight="1">
      <c r="A329" s="1" t="s">
        <v>324</v>
      </c>
      <c r="B329" s="2" t="str">
        <f>IFERROR(__xludf.DUMMYFUNCTION("GOOGLETRANSLATE(A329, ""de"", ""uk"")"),"добрий день")</f>
        <v>добрий день</v>
      </c>
    </row>
    <row r="330" ht="15.75" customHeight="1">
      <c r="A330" s="1" t="s">
        <v>325</v>
      </c>
      <c r="B330" s="2" t="str">
        <f>IFERROR(__xludf.DUMMYFUNCTION("GOOGLETRANSLATE(A330, ""de"", ""uk"")"),"вечір")</f>
        <v>вечір</v>
      </c>
    </row>
    <row r="331" ht="15.75" customHeight="1">
      <c r="A331" s="1" t="s">
        <v>326</v>
      </c>
      <c r="B331" s="2" t="str">
        <f>IFERROR(__xludf.DUMMYFUNCTION("GOOGLETRANSLATE(A331, ""de"", ""uk"")"),"полудень")</f>
        <v>полудень</v>
      </c>
    </row>
    <row r="332" ht="15.75" customHeight="1">
      <c r="A332" s="1" t="s">
        <v>327</v>
      </c>
      <c r="B332" s="2" t="str">
        <f>IFERROR(__xludf.DUMMYFUNCTION("GOOGLETRANSLATE(A332, ""de"", ""uk"")"),"ранок")</f>
        <v>ранок</v>
      </c>
    </row>
    <row r="333" ht="15.75" customHeight="1">
      <c r="A333" s="1" t="s">
        <v>328</v>
      </c>
      <c r="B333" s="2" t="str">
        <f>IFERROR(__xludf.DUMMYFUNCTION("GOOGLETRANSLATE(A333, ""de"", ""uk"")"),"день")</f>
        <v>день</v>
      </c>
    </row>
    <row r="334" ht="15.75" customHeight="1">
      <c r="A334" s="1" t="s">
        <v>329</v>
      </c>
      <c r="B334" s="2" t="str">
        <f>IFERROR(__xludf.DUMMYFUNCTION("GOOGLETRANSLATE(A334, ""de"", ""uk"")"),"ранок")</f>
        <v>ранок</v>
      </c>
    </row>
    <row r="335" ht="15.75" customHeight="1">
      <c r="A335" s="1" t="s">
        <v>330</v>
      </c>
      <c r="B335" s="2" t="str">
        <f>IFERROR(__xludf.DUMMYFUNCTION("GOOGLETRANSLATE(A335, ""de"", ""uk"")"),"півдня")</f>
        <v>півдня</v>
      </c>
    </row>
    <row r="336" ht="15.75" customHeight="1">
      <c r="A336" s="1" t="s">
        <v>331</v>
      </c>
      <c r="B336" s="2" t="str">
        <f>IFERROR(__xludf.DUMMYFUNCTION("GOOGLETRANSLATE(A336, ""de"", ""uk"")"),"перший")</f>
        <v>перший</v>
      </c>
    </row>
    <row r="337" ht="15.75" customHeight="1">
      <c r="A337" s="1" t="s">
        <v>332</v>
      </c>
      <c r="B337" s="2" t="str">
        <f>IFERROR(__xludf.DUMMYFUNCTION("GOOGLETRANSLATE(A337, ""de"", ""uk"")"),"другий")</f>
        <v>другий</v>
      </c>
    </row>
    <row r="338" ht="15.75" customHeight="1">
      <c r="A338" s="1" t="s">
        <v>333</v>
      </c>
      <c r="B338" s="2" t="str">
        <f>IFERROR(__xludf.DUMMYFUNCTION("GOOGLETRANSLATE(A338, ""de"", ""uk"")"),"третій")</f>
        <v>третій</v>
      </c>
    </row>
    <row r="339" ht="15.75" customHeight="1">
      <c r="A339" s="1" t="s">
        <v>334</v>
      </c>
      <c r="B339" s="2" t="str">
        <f>IFERROR(__xludf.DUMMYFUNCTION("GOOGLETRANSLATE(A339, ""de"", ""uk"")"),"четвертий")</f>
        <v>четвертий</v>
      </c>
    </row>
    <row r="340" ht="15.75" customHeight="1">
      <c r="A340" s="1" t="s">
        <v>335</v>
      </c>
      <c r="B340" s="2" t="str">
        <f>IFERROR(__xludf.DUMMYFUNCTION("GOOGLETRANSLATE(A340, ""de"", ""uk"")"),"п'ятий")</f>
        <v>п'ятий</v>
      </c>
    </row>
    <row r="341" ht="15.75" customHeight="1">
      <c r="A341" s="1" t="s">
        <v>336</v>
      </c>
      <c r="B341" s="2" t="str">
        <f>IFERROR(__xludf.DUMMYFUNCTION("GOOGLETRANSLATE(A341, ""de"", ""uk"")"),"шосте")</f>
        <v>шосте</v>
      </c>
    </row>
    <row r="342" ht="15.75" customHeight="1">
      <c r="A342" s="1" t="s">
        <v>337</v>
      </c>
      <c r="B342" s="2" t="str">
        <f>IFERROR(__xludf.DUMMYFUNCTION("GOOGLETRANSLATE(A342, ""de"", ""uk"")"),"сьоме")</f>
        <v>сьоме</v>
      </c>
    </row>
    <row r="343" ht="15.75" customHeight="1">
      <c r="A343" s="1" t="s">
        <v>338</v>
      </c>
      <c r="B343" s="2" t="str">
        <f>IFERROR(__xludf.DUMMYFUNCTION("GOOGLETRANSLATE(A343, ""de"", ""uk"")"),"восьме")</f>
        <v>восьме</v>
      </c>
    </row>
    <row r="344" ht="15.75" customHeight="1">
      <c r="A344" s="1" t="s">
        <v>339</v>
      </c>
      <c r="B344" s="2" t="str">
        <f>IFERROR(__xludf.DUMMYFUNCTION("GOOGLETRANSLATE(A344, ""de"", ""uk"")"),"дев'ятий")</f>
        <v>дев'ятий</v>
      </c>
    </row>
    <row r="345" ht="15.75" customHeight="1">
      <c r="A345" s="1" t="s">
        <v>340</v>
      </c>
      <c r="B345" s="2" t="str">
        <f>IFERROR(__xludf.DUMMYFUNCTION("GOOGLETRANSLATE(A345, ""de"", ""uk"")"),"десяте")</f>
        <v>десяте</v>
      </c>
    </row>
    <row r="346" ht="15.75" customHeight="1">
      <c r="A346" s="1" t="s">
        <v>341</v>
      </c>
      <c r="B346" s="2" t="str">
        <f>IFERROR(__xludf.DUMMYFUNCTION("GOOGLETRANSLATE(A346, ""de"", ""uk"")"),"половина")</f>
        <v>половина</v>
      </c>
    </row>
    <row r="347" ht="15.75" customHeight="1">
      <c r="A347" s="1" t="s">
        <v>342</v>
      </c>
      <c r="B347" s="2" t="str">
        <f>IFERROR(__xludf.DUMMYFUNCTION("GOOGLETRANSLATE(A347, ""de"", ""uk"")"),"третій")</f>
        <v>третій</v>
      </c>
    </row>
    <row r="348" ht="15.75" customHeight="1">
      <c r="A348" s="1" t="s">
        <v>343</v>
      </c>
      <c r="B348" s="2" t="str">
        <f>IFERROR(__xludf.DUMMYFUNCTION("GOOGLETRANSLATE(A348, ""de"", ""uk"")"),"квартал")</f>
        <v>квартал</v>
      </c>
    </row>
    <row r="349" ht="15.75" customHeight="1">
      <c r="A349" s="1" t="s">
        <v>344</v>
      </c>
      <c r="B349" s="2" t="str">
        <f>IFERROR(__xludf.DUMMYFUNCTION("GOOGLETRANSLATE(A349, ""de"", ""uk"")"),"п'ятий")</f>
        <v>п'ятий</v>
      </c>
    </row>
    <row r="350" ht="15.75" customHeight="1">
      <c r="A350" s="1" t="s">
        <v>345</v>
      </c>
      <c r="B350" s="2" t="str">
        <f>IFERROR(__xludf.DUMMYFUNCTION("GOOGLETRANSLATE(A350, ""de"", ""uk"")"),"шостий")</f>
        <v>шостий</v>
      </c>
    </row>
    <row r="351" ht="15.75" customHeight="1">
      <c r="A351" s="1" t="s">
        <v>346</v>
      </c>
      <c r="B351" s="2" t="str">
        <f>IFERROR(__xludf.DUMMYFUNCTION("GOOGLETRANSLATE(A351, ""de"", ""uk"")"),"сьомий")</f>
        <v>сьомий</v>
      </c>
    </row>
    <row r="352" ht="15.75" customHeight="1">
      <c r="A352" s="1" t="s">
        <v>347</v>
      </c>
      <c r="B352" s="2" t="str">
        <f>IFERROR(__xludf.DUMMYFUNCTION("GOOGLETRANSLATE(A352, ""de"", ""uk"")"),"восьмий")</f>
        <v>восьмий</v>
      </c>
    </row>
    <row r="353" ht="15.75" customHeight="1">
      <c r="A353" s="1" t="s">
        <v>348</v>
      </c>
      <c r="B353" s="2" t="str">
        <f>IFERROR(__xludf.DUMMYFUNCTION("GOOGLETRANSLATE(A353, ""de"", ""uk"")"),"дев'ятий")</f>
        <v>дев'ятий</v>
      </c>
    </row>
    <row r="354" ht="15.75" customHeight="1">
      <c r="A354" s="1" t="s">
        <v>349</v>
      </c>
      <c r="B354" s="2" t="str">
        <f>IFERROR(__xludf.DUMMYFUNCTION("GOOGLETRANSLATE(A354, ""de"", ""uk"")"),"десятий")</f>
        <v>десятий</v>
      </c>
    </row>
    <row r="355" ht="15.75" customHeight="1">
      <c r="A355" s="1" t="s">
        <v>350</v>
      </c>
      <c r="B355" s="2" t="str">
        <f>IFERROR(__xludf.DUMMYFUNCTION("GOOGLETRANSLATE(A355, ""de"", ""uk"")"),"форма")</f>
        <v>форма</v>
      </c>
    </row>
    <row r="356" ht="15.75" customHeight="1">
      <c r="A356" s="1" t="s">
        <v>351</v>
      </c>
      <c r="B356" s="2" t="str">
        <f>IFERROR(__xludf.DUMMYFUNCTION("GOOGLETRANSLATE(A356, ""de"", ""uk"")"),"коло")</f>
        <v>коло</v>
      </c>
    </row>
    <row r="357" ht="15.75" customHeight="1">
      <c r="A357" s="1" t="s">
        <v>352</v>
      </c>
      <c r="B357" s="2" t="str">
        <f>IFERROR(__xludf.DUMMYFUNCTION("GOOGLETRANSLATE(A357, ""de"", ""uk"")"),"трикутник")</f>
        <v>трикутник</v>
      </c>
    </row>
    <row r="358" ht="15.75" customHeight="1">
      <c r="A358" s="1" t="s">
        <v>353</v>
      </c>
      <c r="B358" s="2" t="str">
        <f>IFERROR(__xludf.DUMMYFUNCTION("GOOGLETRANSLATE(A358, ""de"", ""uk"")"),"квадрат")</f>
        <v>квадрат</v>
      </c>
    </row>
    <row r="359" ht="15.75" customHeight="1">
      <c r="A359" s="1" t="s">
        <v>354</v>
      </c>
      <c r="B359" s="2" t="str">
        <f>IFERROR(__xludf.DUMMYFUNCTION("GOOGLETRANSLATE(A359, ""de"", ""uk"")"),"частина")</f>
        <v>частина</v>
      </c>
    </row>
    <row r="360" ht="15.75" customHeight="1">
      <c r="A360" s="1" t="s">
        <v>355</v>
      </c>
      <c r="B360" s="2" t="str">
        <f>IFERROR(__xludf.DUMMYFUNCTION("GOOGLETRANSLATE(A360, ""de"", ""uk"")"),"годинник")</f>
        <v>годинник</v>
      </c>
    </row>
    <row r="361" ht="15.75" customHeight="1">
      <c r="A361" s="1" t="s">
        <v>356</v>
      </c>
      <c r="B361" s="2" t="str">
        <f>IFERROR(__xludf.DUMMYFUNCTION("GOOGLETRANSLATE(A361, ""de"", ""uk"")"),"вказівник")</f>
        <v>вказівник</v>
      </c>
    </row>
    <row r="362" ht="15.75" customHeight="1">
      <c r="A362" s="1" t="s">
        <v>357</v>
      </c>
      <c r="B362" s="2" t="str">
        <f>IFERROR(__xludf.DUMMYFUNCTION("GOOGLETRANSLATE(A362, ""de"", ""uk"")"),"призначення")</f>
        <v>призначення</v>
      </c>
    </row>
    <row r="363" ht="15.75" customHeight="1">
      <c r="A363" s="1" t="s">
        <v>358</v>
      </c>
      <c r="B363" s="2" t="str">
        <f>IFERROR(__xludf.DUMMYFUNCTION("GOOGLETRANSLATE(A363, ""de"", ""uk"")"),"ти прийдеш вранці чи вдень?")</f>
        <v>ти прийдеш вранці чи вдень?</v>
      </c>
    </row>
    <row r="364" ht="15.75" customHeight="1">
      <c r="A364" s="1" t="s">
        <v>359</v>
      </c>
      <c r="B364" s="2" t="str">
        <f>IFERROR(__xludf.DUMMYFUNCTION("GOOGLETRANSLATE(A364, ""de"", ""uk"")"),"Я поговорю з Монікою пізніше")</f>
        <v>Я поговорю з Монікою пізніше</v>
      </c>
    </row>
    <row r="365" ht="15.75" customHeight="1">
      <c r="A365" s="1" t="s">
        <v>360</v>
      </c>
      <c r="B365" s="2" t="str">
        <f>IFERROR(__xludf.DUMMYFUNCTION("GOOGLETRANSLATE(A365, ""de"", ""uk"")"),"Сьогодні я не встигну.")</f>
        <v>Сьогодні я не встигну.</v>
      </c>
    </row>
    <row r="366" ht="15.75" customHeight="1">
      <c r="A366" s="1" t="s">
        <v>361</v>
      </c>
      <c r="B366" s="2" t="str">
        <f>IFERROR(__xludf.DUMMYFUNCTION("GOOGLETRANSLATE(A366, ""de"", ""uk"")"),"Ти запізнився.")</f>
        <v>Ти запізнився.</v>
      </c>
    </row>
    <row r="367" ht="15.75" customHeight="1">
      <c r="A367" s="1" t="s">
        <v>362</v>
      </c>
      <c r="B367" s="2" t="str">
        <f>IFERROR(__xludf.DUMMYFUNCTION("GOOGLETRANSLATE(A367, ""de"", ""uk"")"),"Година має 60 хвилин.")</f>
        <v>Година має 60 хвилин.</v>
      </c>
    </row>
    <row r="368" ht="15.75" customHeight="1">
      <c r="A368" s="1" t="s">
        <v>363</v>
      </c>
      <c r="B368" s="2" t="str">
        <f>IFERROR(__xludf.DUMMYFUNCTION("GOOGLETRANSLATE(A368, ""de"", ""uk"")"),"30 хвилин - це півгодини.")</f>
        <v>30 хвилин - це півгодини.</v>
      </c>
    </row>
    <row r="369" ht="15.75" customHeight="1">
      <c r="A369" s="1" t="s">
        <v>364</v>
      </c>
      <c r="B369" s="2" t="str">
        <f>IFERROR(__xludf.DUMMYFUNCTION("GOOGLETRANSLATE(A369, ""de"", ""uk"")"),"Я спізнився на чверть години.")</f>
        <v>Я спізнився на чверть години.</v>
      </c>
    </row>
    <row r="370" ht="15.75" customHeight="1">
      <c r="A370" s="1" t="s">
        <v>365</v>
      </c>
      <c r="B370" s="2" t="str">
        <f>IFERROR(__xludf.DUMMYFUNCTION("GOOGLETRANSLATE(A370, ""de"", ""uk"")"),"Є шістдесят секунд за хвилину.")</f>
        <v>Є шістдесят секунд за хвилину.</v>
      </c>
    </row>
    <row r="371" ht="15.75" customHeight="1">
      <c r="A371" s="1" t="s">
        <v>366</v>
      </c>
      <c r="B371" s="2" t="str">
        <f>IFERROR(__xludf.DUMMYFUNCTION("GOOGLETRANSLATE(A371, ""de"", ""uk"")"),"будь ласка, зачекайте секунду.")</f>
        <v>будь ласка, зачекайте секунду.</v>
      </c>
    </row>
    <row r="372" ht="15.75" customHeight="1">
      <c r="A372" s="1" t="s">
        <v>367</v>
      </c>
      <c r="B372" s="2" t="str">
        <f>IFERROR(__xludf.DUMMYFUNCTION("GOOGLETRANSLATE(A372, ""de"", ""uk"")"),"Рано встаю і пізно сплю.")</f>
        <v>Рано встаю і пізно сплю.</v>
      </c>
    </row>
    <row r="373" ht="15.75" customHeight="1">
      <c r="A373" s="1" t="s">
        <v>368</v>
      </c>
      <c r="B373" s="2" t="str">
        <f>IFERROR(__xludf.DUMMYFUNCTION("GOOGLETRANSLATE(A373, ""de"", ""uk"")"),"Скажіть, будь ласка, час?")</f>
        <v>Скажіть, будь ласка, час?</v>
      </c>
    </row>
    <row r="374" ht="15.75" customHeight="1">
      <c r="A374" s="1" t="s">
        <v>369</v>
      </c>
      <c r="B374" s="2" t="str">
        <f>IFERROR(__xludf.DUMMYFUNCTION("GOOGLETRANSLATE(A374, ""de"", ""uk"")"),"Чекаю з понеділка.")</f>
        <v>Чекаю з понеділка.</v>
      </c>
    </row>
    <row r="375" ht="15.75" customHeight="1">
      <c r="A375" s="1" t="s">
        <v>370</v>
      </c>
      <c r="B375" s="2" t="str">
        <f>IFERROR(__xludf.DUMMYFUNCTION("GOOGLETRANSLATE(A375, ""de"", ""uk"")"),"сьогодні мій день народження")</f>
        <v>сьогодні мій день народження</v>
      </c>
    </row>
    <row r="376" ht="15.75" customHeight="1">
      <c r="A376" s="1" t="s">
        <v>371</v>
      </c>
      <c r="B376" s="2" t="str">
        <f>IFERROR(__xludf.DUMMYFUNCTION("GOOGLETRANSLATE(A376, ""de"", ""uk"")"),"Вчора я був у Дрездені.")</f>
        <v>Вчора я був у Дрездені.</v>
      </c>
    </row>
    <row r="377" ht="15.75" customHeight="1">
      <c r="A377" s="1" t="s">
        <v>372</v>
      </c>
      <c r="B377" s="2" t="str">
        <f>IFERROR(__xludf.DUMMYFUNCTION("GOOGLETRANSLATE(A377, ""de"", ""uk"")"),"Сьогодні середа, а позавчора був понеділок.")</f>
        <v>Сьогодні середа, а позавчора був понеділок.</v>
      </c>
    </row>
    <row r="378" ht="15.75" customHeight="1">
      <c r="A378" s="1" t="s">
        <v>373</v>
      </c>
      <c r="B378" s="2" t="str">
        <f>IFERROR(__xludf.DUMMYFUNCTION("GOOGLETRANSLATE(A378, ""de"", ""uk"")"),"Сьогодні середа, а завтра буде четвер.")</f>
        <v>Сьогодні середа, а завтра буде четвер.</v>
      </c>
    </row>
    <row r="379" ht="15.75" customHeight="1">
      <c r="A379" s="1" t="s">
        <v>374</v>
      </c>
      <c r="B379" s="2" t="str">
        <f>IFERROR(__xludf.DUMMYFUNCTION("GOOGLETRANSLATE(A379, ""de"", ""uk"")"),"Сьогодні середа, а післязавтра буде п'ятниця.")</f>
        <v>Сьогодні середа, а післязавтра буде п'ятниця.</v>
      </c>
    </row>
    <row r="380" ht="15.75" customHeight="1">
      <c r="A380" s="1" t="s">
        <v>375</v>
      </c>
      <c r="B380" s="2" t="str">
        <f>IFERROR(__xludf.DUMMYFUNCTION("GOOGLETRANSLATE(A380, ""de"", ""uk"")"),"Я буджу свою дитину вранці.")</f>
        <v>Я буджу свою дитину вранці.</v>
      </c>
    </row>
    <row r="381" ht="15.75" customHeight="1">
      <c r="A381" s="1" t="s">
        <v>376</v>
      </c>
      <c r="B381" s="2" t="str">
        <f>IFERROR(__xludf.DUMMYFUNCTION("GOOGLETRANSLATE(A381, ""de"", ""uk"")"),"Зустріч опівдні.")</f>
        <v>Зустріч опівдні.</v>
      </c>
    </row>
    <row r="382" ht="15.75" customHeight="1">
      <c r="A382" s="1" t="s">
        <v>377</v>
      </c>
      <c r="B382" s="2" t="str">
        <f>IFERROR(__xludf.DUMMYFUNCTION("GOOGLETRANSLATE(A382, ""de"", ""uk"")"),"Будь ласка, прийдіть вчасно.")</f>
        <v>Будь ласка, прийдіть вчасно.</v>
      </c>
    </row>
    <row r="383" ht="15.75" customHeight="1">
      <c r="A383" s="1" t="s">
        <v>378</v>
      </c>
      <c r="B383" s="2" t="str">
        <f>IFERROR(__xludf.DUMMYFUNCTION("GOOGLETRANSLATE(A383, ""de"", ""uk"")"),"Ти зустрічаєшся з Майклом увечері?")</f>
        <v>Ти зустрічаєшся з Майклом увечері?</v>
      </c>
    </row>
    <row r="384" ht="15.75" customHeight="1">
      <c r="A384" s="1" t="s">
        <v>379</v>
      </c>
      <c r="B384" s="2" t="str">
        <f>IFERROR(__xludf.DUMMYFUNCTION("GOOGLETRANSLATE(A384, ""de"", ""uk"")"),"Я не сплю вдень.")</f>
        <v>Я не сплю вдень.</v>
      </c>
    </row>
    <row r="385" ht="15.75" customHeight="1">
      <c r="A385" s="1" t="s">
        <v>380</v>
      </c>
      <c r="B385" s="2" t="str">
        <f>IFERROR(__xludf.DUMMYFUNCTION("GOOGLETRANSLATE(A385, ""de"", ""uk"")"),"Я завжди сплю вночі.")</f>
        <v>Я завжди сплю вночі.</v>
      </c>
    </row>
    <row r="386" ht="15.75" customHeight="1">
      <c r="A386" s="1" t="s">
        <v>381</v>
      </c>
      <c r="B386" s="2" t="str">
        <f>IFERROR(__xludf.DUMMYFUNCTION("GOOGLETRANSLATE(A386, ""de"", ""uk"")"),"зустріч зараз, а не через 30 хвилин.")</f>
        <v>зустріч зараз, а не через 30 хвилин.</v>
      </c>
    </row>
    <row r="387" ht="15.75" customHeight="1">
      <c r="A387" s="1" t="s">
        <v>382</v>
      </c>
      <c r="B387" s="2" t="str">
        <f>IFERROR(__xludf.DUMMYFUNCTION("GOOGLETRANSLATE(A387, ""de"", ""uk"")"),"Наступна зустріч післязавтра.")</f>
        <v>Наступна зустріч післязавтра.</v>
      </c>
    </row>
    <row r="388" ht="15.75" customHeight="1">
      <c r="A388" s="1" t="s">
        <v>383</v>
      </c>
      <c r="B388" s="2" t="str">
        <f>IFERROR(__xludf.DUMMYFUNCTION("GOOGLETRANSLATE(A388, ""de"", ""uk"")"),"Я прокидаюся щогодини.")</f>
        <v>Я прокидаюся щогодини.</v>
      </c>
    </row>
    <row r="389" ht="15.75" customHeight="1">
      <c r="A389" s="1" t="s">
        <v>384</v>
      </c>
      <c r="B389" s="2" t="str">
        <f>IFERROR(__xludf.DUMMYFUNCTION("GOOGLETRANSLATE(A389, ""de"", ""uk"")"),"Вона щодня допомагає жінці.")</f>
        <v>Вона щодня допомагає жінці.</v>
      </c>
    </row>
    <row r="390" ht="15.75" customHeight="1">
      <c r="A390" s="1" t="s">
        <v>385</v>
      </c>
      <c r="B390" s="2" t="str">
        <f>IFERROR(__xludf.DUMMYFUNCTION("GOOGLETRANSLATE(A390, ""de"", ""uk"")"),"Я не повернуся через 40 хвилин.")</f>
        <v>Я не повернуся через 40 хвилин.</v>
      </c>
    </row>
    <row r="391" ht="15.75" customHeight="1">
      <c r="A391" s="1" t="s">
        <v>386</v>
      </c>
      <c r="B391" s="2" t="str">
        <f>IFERROR(__xludf.DUMMYFUNCTION("GOOGLETRANSLATE(A391, ""de"", ""uk"")"),"коли прийдеш")</f>
        <v>коли прийдеш</v>
      </c>
    </row>
    <row r="392" ht="15.75" customHeight="1">
      <c r="A392" s="1" t="s">
        <v>387</v>
      </c>
      <c r="B392" s="2" t="str">
        <f>IFERROR(__xludf.DUMMYFUNCTION("GOOGLETRANSLATE(A392, ""de"", ""uk"")"),"Один плюс п'ять дорівнює шести.")</f>
        <v>Один плюс п'ять дорівнює шести.</v>
      </c>
    </row>
    <row r="393" ht="15.75" customHeight="1">
      <c r="A393" s="1" t="s">
        <v>388</v>
      </c>
      <c r="B393" s="2" t="str">
        <f>IFERROR(__xludf.DUMMYFUNCTION("GOOGLETRANSLATE(A393, ""de"", ""uk"")"),"Два мінус два дорівнює нулю.")</f>
        <v>Два мінус два дорівнює нулю.</v>
      </c>
    </row>
    <row r="394" ht="15.75" customHeight="1">
      <c r="A394" s="1" t="s">
        <v>389</v>
      </c>
      <c r="B394" s="2" t="str">
        <f>IFERROR(__xludf.DUMMYFUNCTION("GOOGLETRANSLATE(A394, ""de"", ""uk"")"),"Три по чотири — дванадцять.")</f>
        <v>Три по чотири — дванадцять.</v>
      </c>
    </row>
    <row r="395" ht="15.75" customHeight="1">
      <c r="A395" s="1" t="s">
        <v>390</v>
      </c>
      <c r="B395" s="2" t="str">
        <f>IFERROR(__xludf.DUMMYFUNCTION("GOOGLETRANSLATE(A395, ""de"", ""uk"")"),"У мене є сім-вісім євро.")</f>
        <v>У мене є сім-вісім євро.</v>
      </c>
    </row>
    <row r="396" ht="15.75" customHeight="1">
      <c r="A396" s="1" t="s">
        <v>391</v>
      </c>
      <c r="B396" s="2" t="str">
        <f>IFERROR(__xludf.DUMMYFUNCTION("GOOGLETRANSLATE(A396, ""de"", ""uk"")"),"Дев'яносто поділити на десять - дев'ять.")</f>
        <v>Дев'яносто поділити на десять - дев'ять.</v>
      </c>
    </row>
    <row r="397" ht="15.75" customHeight="1">
      <c r="A397" s="1" t="s">
        <v>392</v>
      </c>
      <c r="B397" s="2" t="str">
        <f>IFERROR(__xludf.DUMMYFUNCTION("GOOGLETRANSLATE(A397, ""de"", ""uk"")"),"Число 11 пишеться одинадцять.")</f>
        <v>Число 11 пишеться одинадцять.</v>
      </c>
    </row>
    <row r="398" ht="15.75" customHeight="1">
      <c r="A398" s="1" t="s">
        <v>393</v>
      </c>
      <c r="B398" s="2" t="str">
        <f>IFERROR(__xludf.DUMMYFUNCTION("GOOGLETRANSLATE(A398, ""de"", ""uk"")"),"Після сотні йде сто один")</f>
        <v>Після сотні йде сто один</v>
      </c>
    </row>
    <row r="399" ht="15.75" customHeight="1">
      <c r="A399" s="1" t="s">
        <v>394</v>
      </c>
      <c r="B399" s="2" t="str">
        <f>IFERROR(__xludf.DUMMYFUNCTION("GOOGLETRANSLATE(A399, ""de"", ""uk"")"),"п'ять помножених на двісті — це тисяча.")</f>
        <v>п'ять помножених на двісті — це тисяча.</v>
      </c>
    </row>
    <row r="400" ht="15.75" customHeight="1">
      <c r="A400" s="1" t="s">
        <v>395</v>
      </c>
      <c r="B400" s="2" t="str">
        <f>IFERROR(__xludf.DUMMYFUNCTION("GOOGLETRANSLATE(A400, ""de"", ""uk"")"),"Тисяча разів на тисячу дорівнює мільйону.")</f>
        <v>Тисяча разів на тисячу дорівнює мільйону.</v>
      </c>
    </row>
    <row r="401" ht="15.75" customHeight="1">
      <c r="A401" s="1" t="s">
        <v>396</v>
      </c>
      <c r="B401" s="2" t="str">
        <f>IFERROR(__xludf.DUMMYFUNCTION("GOOGLETRANSLATE(A401, ""de"", ""uk"")"),"Тисяча разів на мільйон це мільярд.")</f>
        <v>Тисяча разів на мільйон це мільярд.</v>
      </c>
    </row>
    <row r="402" ht="15.75" customHeight="1">
      <c r="A402" s="1" t="s">
        <v>397</v>
      </c>
      <c r="B402" s="2" t="str">
        <f>IFERROR(__xludf.DUMMYFUNCTION("GOOGLETRANSLATE(A402, ""de"", ""uk"")"),"У мене є дев'ятнадцять євро.")</f>
        <v>У мене є дев'ятнадцять євро.</v>
      </c>
    </row>
    <row r="403" ht="15.75" customHeight="1">
      <c r="A403" s="1" t="s">
        <v>398</v>
      </c>
      <c r="B403" s="2" t="str">
        <f>IFERROR(__xludf.DUMMYFUNCTION("GOOGLETRANSLATE(A403, ""de"", ""uk"")"),"двадцять плюс тридцять дорівнює п'ятдесят")</f>
        <v>двадцять плюс тридцять дорівнює п'ятдесят</v>
      </c>
    </row>
    <row r="404" ht="15.75" customHeight="1">
      <c r="A404" s="1" t="s">
        <v>399</v>
      </c>
      <c r="B404" s="2" t="str">
        <f>IFERROR(__xludf.DUMMYFUNCTION("GOOGLETRANSLATE(A404, ""de"", ""uk"")"),"Двадцять один двадцять два і зараз?")</f>
        <v>Двадцять один двадцять два і зараз?</v>
      </c>
    </row>
    <row r="405" ht="15.75" customHeight="1">
      <c r="A405" s="1" t="s">
        <v>400</v>
      </c>
      <c r="B405" s="2" t="str">
        <f>IFERROR(__xludf.DUMMYFUNCTION("GOOGLETRANSLATE(A405, ""de"", ""uk"")"),"Сорок мінус один - тридцять дев'ять.")</f>
        <v>Сорок мінус один - тридцять дев'ять.</v>
      </c>
    </row>
    <row r="406" ht="15.75" customHeight="1">
      <c r="A406" s="1" t="s">
        <v>401</v>
      </c>
      <c r="B406" s="2" t="str">
        <f>IFERROR(__xludf.DUMMYFUNCTION("GOOGLETRANSLATE(A406, ""de"", ""uk"")"),"У вас є шістдесят, сімдесят чи вісімдесят євро?")</f>
        <v>У вас є шістдесят, сімдесят чи вісімдесят євро?</v>
      </c>
    </row>
    <row r="407" ht="15.75" customHeight="1">
      <c r="A407" s="1" t="s">
        <v>402</v>
      </c>
      <c r="B407" s="2" t="str">
        <f>IFERROR(__xludf.DUMMYFUNCTION("GOOGLETRANSLATE(A407, ""de"", ""uk"")"),"П'ятдесят відсотків від чотирнадцяти євро - це сім євро.")</f>
        <v>П'ятдесят відсотків від чотирнадцяти євро - це сім євро.</v>
      </c>
    </row>
    <row r="408" ht="15.75" customHeight="1">
      <c r="A408" s="1" t="s">
        <v>403</v>
      </c>
      <c r="B408" s="2" t="str">
        <f>IFERROR(__xludf.DUMMYFUNCTION("GOOGLETRANSLATE(A408, ""de"", ""uk"")"),"Цілий день складається з двадцяти чотирьох годин.")</f>
        <v>Цілий день складається з двадцяти чотирьох годин.</v>
      </c>
    </row>
    <row r="409" ht="15.75" customHeight="1">
      <c r="A409" s="1" t="s">
        <v>404</v>
      </c>
      <c r="B409" s="2" t="str">
        <f>IFERROR(__xludf.DUMMYFUNCTION("GOOGLETRANSLATE(A409, ""de"", ""uk"")"),"Двадцять шість поділити на два — це тринадцять")</f>
        <v>Двадцять шість поділити на два — це тринадцять</v>
      </c>
    </row>
    <row r="410" ht="15.75" customHeight="1">
      <c r="A410" s="1" t="s">
        <v>405</v>
      </c>
      <c r="B410" s="2" t="str">
        <f>IFERROR(__xludf.DUMMYFUNCTION("GOOGLETRANSLATE(A410, ""de"", ""uk"")"),"П'ятнадцять плюс три дорівнює вісімнадцяти.")</f>
        <v>П'ятнадцять плюс три дорівнює вісімнадцяти.</v>
      </c>
    </row>
    <row r="411" ht="15.75" customHeight="1">
      <c r="A411" s="1" t="s">
        <v>406</v>
      </c>
      <c r="B411" s="2" t="str">
        <f>IFERROR(__xludf.DUMMYFUNCTION("GOOGLETRANSLATE(A411, ""de"", ""uk"")"),"Діти обчислюють п’ять плюс п’ять.")</f>
        <v>Діти обчислюють п’ять плюс п’ять.</v>
      </c>
    </row>
    <row r="412" ht="15.75" customHeight="1">
      <c r="A412" s="1" t="s">
        <v>407</v>
      </c>
      <c r="B412" s="2" t="str">
        <f>IFERROR(__xludf.DUMMYFUNCTION("GOOGLETRANSLATE(A412, ""de"", ""uk"")"),"Я сплю години дві.")</f>
        <v>Я сплю години дві.</v>
      </c>
    </row>
    <row r="413" ht="15.75" customHeight="1">
      <c r="A413" s="1" t="s">
        <v>408</v>
      </c>
      <c r="B413" s="2" t="str">
        <f>IFERROR(__xludf.DUMMYFUNCTION("GOOGLETRANSLATE(A413, ""de"", ""uk"")"),"Я тебе розбуджу о сьомій.")</f>
        <v>Я тебе розбуджу о сьомій.</v>
      </c>
    </row>
    <row r="414" ht="15.75" customHeight="1">
      <c r="A414" s="1" t="s">
        <v>409</v>
      </c>
      <c r="B414" s="2" t="str">
        <f>IFERROR(__xludf.DUMMYFUNCTION("GOOGLETRANSLATE(A414, ""de"", ""uk"")"),"Я завжди прокидаюся о третій ранку.")</f>
        <v>Я завжди прокидаюся о третій ранку.</v>
      </c>
    </row>
    <row r="415" ht="15.75" customHeight="1">
      <c r="A415" s="1" t="s">
        <v>410</v>
      </c>
      <c r="B415" s="2" t="str">
        <f>IFERROR(__xludf.DUMMYFUNCTION("GOOGLETRANSLATE(A415, ""de"", ""uk"")"),"Коли ти встаєш?")</f>
        <v>Коли ти встаєш?</v>
      </c>
    </row>
    <row r="416" ht="15.75" customHeight="1">
      <c r="A416" s="1" t="s">
        <v>411</v>
      </c>
      <c r="B416" s="2" t="str">
        <f>IFERROR(__xludf.DUMMYFUNCTION("GOOGLETRANSLATE(A416, ""de"", ""uk"")"),"Коли відбувається призначення?")</f>
        <v>Коли відбувається призначення?</v>
      </c>
    </row>
    <row r="417" ht="15.75" customHeight="1">
      <c r="A417" s="1" t="s">
        <v>412</v>
      </c>
      <c r="B417" s="2" t="str">
        <f>IFERROR(__xludf.DUMMYFUNCTION("GOOGLETRANSLATE(A417, ""de"", ""uk"")"),"Коли у вас призначена зустріч?")</f>
        <v>Коли у вас призначена зустріч?</v>
      </c>
    </row>
    <row r="418" ht="15.75" customHeight="1">
      <c r="A418" s="1" t="s">
        <v>413</v>
      </c>
      <c r="B418" s="2" t="str">
        <f>IFERROR(__xludf.DUMMYFUNCTION("GOOGLETRANSLATE(A418, ""de"", ""uk"")"),"коли починається літо?")</f>
        <v>коли починається літо?</v>
      </c>
    </row>
    <row r="419" ht="15.75" customHeight="1">
      <c r="A419" s="1" t="s">
        <v>414</v>
      </c>
      <c r="B419" s="2" t="str">
        <f>IFERROR(__xludf.DUMMYFUNCTION("GOOGLETRANSLATE(A419, ""de"", ""uk"")"),"Тиждень починається в понеділок.")</f>
        <v>Тиждень починається в понеділок.</v>
      </c>
    </row>
    <row r="420" ht="15.75" customHeight="1">
      <c r="A420" s="1" t="s">
        <v>415</v>
      </c>
      <c r="B420" s="2" t="str">
        <f>IFERROR(__xludf.DUMMYFUNCTION("GOOGLETRANSLATE(A420, ""de"", ""uk"")"),"Дитина рахує до десяти.")</f>
        <v>Дитина рахує до десяти.</v>
      </c>
    </row>
    <row r="421" ht="15.75" customHeight="1">
      <c r="A421" s="1" t="s">
        <v>416</v>
      </c>
      <c r="B421" s="2" t="str">
        <f>IFERROR(__xludf.DUMMYFUNCTION("GOOGLETRANSLATE(A421, ""de"", ""uk"")"),"Він чекає на жінку.")</f>
        <v>Він чекає на жінку.</v>
      </c>
    </row>
    <row r="422" ht="15.75" customHeight="1">
      <c r="A422" s="1" t="s">
        <v>417</v>
      </c>
      <c r="B422" s="2" t="str">
        <f>IFERROR(__xludf.DUMMYFUNCTION("GOOGLETRANSLATE(A422, ""de"", ""uk"")"),"Коли відкривається супермаркет?")</f>
        <v>Коли відкривається супермаркет?</v>
      </c>
    </row>
    <row r="423" ht="15.75" customHeight="1">
      <c r="A423" s="1" t="s">
        <v>418</v>
      </c>
      <c r="B423" s="2" t="str">
        <f>IFERROR(__xludf.DUMMYFUNCTION("GOOGLETRANSLATE(A423, ""de"", ""uk"")"),"Супермаркет зачиняється о сьомій годині.")</f>
        <v>Супермаркет зачиняється о сьомій годині.</v>
      </c>
    </row>
    <row r="424" ht="15.75" customHeight="1">
      <c r="A424" s="1" t="s">
        <v>419</v>
      </c>
      <c r="B424" s="2" t="str">
        <f>IFERROR(__xludf.DUMMYFUNCTION("GOOGLETRANSLATE(A424, ""de"", ""uk"")"),"Тиждень має сім днів.")</f>
        <v>Тиждень має сім днів.</v>
      </c>
    </row>
    <row r="425" ht="15.75" customHeight="1">
      <c r="A425" s="1" t="s">
        <v>420</v>
      </c>
      <c r="B425" s="2" t="str">
        <f>IFERROR(__xludf.DUMMYFUNCTION("GOOGLETRANSLATE(A425, ""de"", ""uk"")"),"Який сьогодні день тижня?")</f>
        <v>Який сьогодні день тижня?</v>
      </c>
    </row>
    <row r="426" ht="15.75" customHeight="1">
      <c r="A426" s="1" t="s">
        <v>421</v>
      </c>
      <c r="B426" s="2" t="str">
        <f>IFERROR(__xludf.DUMMYFUNCTION("GOOGLETRANSLATE(A426, ""de"", ""uk"")"),"Робочі дні понеділок вівторок середа четвер і п'ятниця.")</f>
        <v>Робочі дні понеділок вівторок середа четвер і п'ятниця.</v>
      </c>
    </row>
    <row r="427" ht="15.75" customHeight="1">
      <c r="A427" s="1" t="s">
        <v>422</v>
      </c>
      <c r="B427" s="2" t="str">
        <f>IFERROR(__xludf.DUMMYFUNCTION("GOOGLETRANSLATE(A427, ""de"", ""uk"")"),"Вихідні – субота та неділя.")</f>
        <v>Вихідні – субота та неділя.</v>
      </c>
    </row>
    <row r="428" ht="15.75" customHeight="1">
      <c r="A428" s="1" t="s">
        <v>423</v>
      </c>
      <c r="B428" s="2" t="str">
        <f>IFERROR(__xludf.DUMMYFUNCTION("GOOGLETRANSLATE(A428, ""de"", ""uk"")"),"Наступних вихідних я не приїду.")</f>
        <v>Наступних вихідних я не приїду.</v>
      </c>
    </row>
    <row r="429" ht="15.75" customHeight="1">
      <c r="A429" s="1" t="s">
        <v>424</v>
      </c>
      <c r="B429" s="2" t="str">
        <f>IFERROR(__xludf.DUMMYFUNCTION("GOOGLETRANSLATE(A429, ""de"", ""uk"")"),"Через рік мені виповниться 18 років.")</f>
        <v>Через рік мені виповниться 18 років.</v>
      </c>
    </row>
    <row r="430" ht="15.75" customHeight="1">
      <c r="A430" s="1" t="s">
        <v>425</v>
      </c>
      <c r="B430" s="2" t="str">
        <f>IFERROR(__xludf.DUMMYFUNCTION("GOOGLETRANSLATE(A430, ""de"", ""uk"")"),"За літом приходить осінь.")</f>
        <v>За літом приходить осінь.</v>
      </c>
    </row>
    <row r="431" ht="15.75" customHeight="1">
      <c r="A431" s="1" t="s">
        <v>426</v>
      </c>
      <c r="B431" s="2" t="str">
        <f>IFERROR(__xludf.DUMMYFUNCTION("GOOGLETRANSLATE(A431, ""de"", ""uk"")"),"Зима настає перед весною.")</f>
        <v>Зима настає перед весною.</v>
      </c>
    </row>
    <row r="432" ht="15.75" customHeight="1">
      <c r="A432" s="1" t="s">
        <v>427</v>
      </c>
      <c r="B432" s="2" t="str">
        <f>IFERROR(__xludf.DUMMYFUNCTION("GOOGLETRANSLATE(A432, ""de"", ""uk"")"),"яка зараз пора року")</f>
        <v>яка зараз пора року</v>
      </c>
    </row>
    <row r="433" ht="15.75" customHeight="1">
      <c r="A433" s="1" t="s">
        <v>428</v>
      </c>
      <c r="B433" s="2" t="str">
        <f>IFERROR(__xludf.DUMMYFUNCTION("GOOGLETRANSLATE(A433, ""de"", ""uk"")"),"Який зараз місяць?")</f>
        <v>Який зараз місяць?</v>
      </c>
    </row>
    <row r="434" ht="15.75" customHeight="1">
      <c r="A434" s="1" t="s">
        <v>429</v>
      </c>
      <c r="B434" s="2" t="str">
        <f>IFERROR(__xludf.DUMMYFUNCTION("GOOGLETRANSLATE(A434, ""de"", ""uk"")"),"перший місяць року січень.")</f>
        <v>перший місяць року січень.</v>
      </c>
    </row>
    <row r="435" ht="15.75" customHeight="1">
      <c r="A435" s="1" t="s">
        <v>430</v>
      </c>
      <c r="B435" s="2" t="str">
        <f>IFERROR(__xludf.DUMMYFUNCTION("GOOGLETRANSLATE(A435, ""de"", ""uk"")"),"Другий місяць – лютий.")</f>
        <v>Другий місяць – лютий.</v>
      </c>
    </row>
    <row r="436" ht="15.75" customHeight="1">
      <c r="A436" s="1" t="s">
        <v>431</v>
      </c>
      <c r="B436" s="2" t="str">
        <f>IFERROR(__xludf.DUMMYFUNCTION("GOOGLETRANSLATE(A436, ""de"", ""uk"")"),"третій місяць березень.")</f>
        <v>третій місяць березень.</v>
      </c>
    </row>
    <row r="437" ht="15.75" customHeight="1">
      <c r="A437" s="1" t="s">
        <v>432</v>
      </c>
      <c r="B437" s="2" t="str">
        <f>IFERROR(__xludf.DUMMYFUNCTION("GOOGLETRANSLATE(A437, ""de"", ""uk"")"),"четвертий місяць квітень.")</f>
        <v>четвертий місяць квітень.</v>
      </c>
    </row>
    <row r="438" ht="15.75" customHeight="1">
      <c r="A438" s="1" t="s">
        <v>433</v>
      </c>
      <c r="B438" s="2" t="str">
        <f>IFERROR(__xludf.DUMMYFUNCTION("GOOGLETRANSLATE(A438, ""de"", ""uk"")"),"П'ятий місяць травень.")</f>
        <v>П'ятий місяць травень.</v>
      </c>
    </row>
    <row r="439" ht="15.75" customHeight="1">
      <c r="A439" s="1" t="s">
        <v>434</v>
      </c>
      <c r="B439" s="2" t="str">
        <f>IFERROR(__xludf.DUMMYFUNCTION("GOOGLETRANSLATE(A439, ""de"", ""uk"")"),"Шостий місяць червень.")</f>
        <v>Шостий місяць червень.</v>
      </c>
    </row>
    <row r="440" ht="15.75" customHeight="1">
      <c r="A440" s="1" t="s">
        <v>435</v>
      </c>
      <c r="B440" s="2" t="str">
        <f>IFERROR(__xludf.DUMMYFUNCTION("GOOGLETRANSLATE(A440, ""de"", ""uk"")"),"Сьомий місяць — липень.")</f>
        <v>Сьомий місяць — липень.</v>
      </c>
    </row>
    <row r="441" ht="15.75" customHeight="1">
      <c r="A441" s="1" t="s">
        <v>436</v>
      </c>
      <c r="B441" s="2" t="str">
        <f>IFERROR(__xludf.DUMMYFUNCTION("GOOGLETRANSLATE(A441, ""de"", ""uk"")"),"Восьмий місяць – серпень.")</f>
        <v>Восьмий місяць – серпень.</v>
      </c>
    </row>
    <row r="442" ht="15.75" customHeight="1">
      <c r="A442" s="1" t="s">
        <v>437</v>
      </c>
      <c r="B442" s="2" t="str">
        <f>IFERROR(__xludf.DUMMYFUNCTION("GOOGLETRANSLATE(A442, ""de"", ""uk"")"),"Дев'ятий місяць - вересень.")</f>
        <v>Дев'ятий місяць - вересень.</v>
      </c>
    </row>
    <row r="443" ht="15.75" customHeight="1">
      <c r="A443" s="1" t="s">
        <v>438</v>
      </c>
      <c r="B443" s="2" t="str">
        <f>IFERROR(__xludf.DUMMYFUNCTION("GOOGLETRANSLATE(A443, ""de"", ""uk"")"),"Десятий місяць жовтень.")</f>
        <v>Десятий місяць жовтень.</v>
      </c>
    </row>
    <row r="444" ht="15.75" customHeight="1">
      <c r="A444" s="1" t="s">
        <v>439</v>
      </c>
      <c r="B444" s="2" t="str">
        <f>IFERROR(__xludf.DUMMYFUNCTION("GOOGLETRANSLATE(A444, ""de"", ""uk"")"),"Одинадцятий місяць листопад.")</f>
        <v>Одинадцятий місяць листопад.</v>
      </c>
    </row>
    <row r="445" ht="15.75" customHeight="1">
      <c r="A445" s="1" t="s">
        <v>440</v>
      </c>
      <c r="B445" s="2" t="str">
        <f>IFERROR(__xludf.DUMMYFUNCTION("GOOGLETRANSLATE(A445, ""de"", ""uk"")"),"Дванадцятий місяць – грудень.")</f>
        <v>Дванадцятий місяць – грудень.</v>
      </c>
    </row>
    <row r="446" ht="15.75" customHeight="1">
      <c r="A446" s="1" t="s">
        <v>441</v>
      </c>
      <c r="B446" s="2" t="str">
        <f>IFERROR(__xludf.DUMMYFUNCTION("GOOGLETRANSLATE(A446, ""de"", ""uk"")"),"Взимку ніч починається рано.")</f>
        <v>Взимку ніч починається рано.</v>
      </c>
    </row>
    <row r="447" ht="15.75" customHeight="1">
      <c r="A447" s="1" t="s">
        <v>442</v>
      </c>
      <c r="B447" s="2" t="str">
        <f>IFERROR(__xludf.DUMMYFUNCTION("GOOGLETRANSLATE(A447, ""de"", ""uk"")"),"Доброго ранку Антьє.")</f>
        <v>Доброго ранку Антьє.</v>
      </c>
    </row>
    <row r="448" ht="15.75" customHeight="1">
      <c r="A448" s="1" t="s">
        <v>443</v>
      </c>
      <c r="B448" s="2" t="str">
        <f>IFERROR(__xludf.DUMMYFUNCTION("GOOGLETRANSLATE(A448, ""de"", ""uk"")"),"Доброго вечора, пані Мюллер.")</f>
        <v>Доброго вечора, пані Мюллер.</v>
      </c>
    </row>
    <row r="449" ht="15.75" customHeight="1">
      <c r="A449" s="1" t="s">
        <v>444</v>
      </c>
      <c r="B449" s="2" t="str">
        <f>IFERROR(__xludf.DUMMYFUNCTION("GOOGLETRANSLATE(A449, ""de"", ""uk"")"),"Доброго дня, пане Шнайдер.")</f>
        <v>Доброго дня, пане Шнайдер.</v>
      </c>
    </row>
    <row r="450" ht="15.75" customHeight="1">
      <c r="A450" s="1" t="s">
        <v>445</v>
      </c>
      <c r="B450" s="2" t="str">
        <f>IFERROR(__xludf.DUMMYFUNCTION("GOOGLETRANSLATE(A450, ""de"", ""uk"")"),"Вечір прекрасний.")</f>
        <v>Вечір прекрасний.</v>
      </c>
    </row>
    <row r="451" ht="15.75" customHeight="1">
      <c r="A451" s="1" t="s">
        <v>446</v>
      </c>
      <c r="B451" s="2" t="str">
        <f>IFERROR(__xludf.DUMMYFUNCTION("GOOGLETRANSLATE(A451, ""de"", ""uk"")"),"В обід відвідуємо жінку.")</f>
        <v>В обід відвідуємо жінку.</v>
      </c>
    </row>
    <row r="452" ht="15.75" customHeight="1">
      <c r="A452" s="1" t="s">
        <v>447</v>
      </c>
      <c r="B452" s="2" t="str">
        <f>IFERROR(__xludf.DUMMYFUNCTION("GOOGLETRANSLATE(A452, ""de"", ""uk"")"),"Вранці я встаю.")</f>
        <v>Вранці я встаю.</v>
      </c>
    </row>
    <row r="453" ht="15.75" customHeight="1">
      <c r="A453" s="1" t="s">
        <v>448</v>
      </c>
      <c r="B453" s="2" t="str">
        <f>IFERROR(__xludf.DUMMYFUNCTION("GOOGLETRANSLATE(A453, ""de"", ""uk"")"),"Ранок з сьомої до дванадцятої години.")</f>
        <v>Ранок з сьомої до дванадцятої години.</v>
      </c>
    </row>
    <row r="454" ht="15.75" customHeight="1">
      <c r="A454" s="1" t="s">
        <v>449</v>
      </c>
      <c r="B454" s="2" t="str">
        <f>IFERROR(__xludf.DUMMYFUNCTION("GOOGLETRANSLATE(A454, ""de"", ""uk"")"),"Післяобідній час з 13:00 до 17:00.")</f>
        <v>Післяобідній час з 13:00 до 17:00.</v>
      </c>
    </row>
    <row r="455" ht="15.75" customHeight="1">
      <c r="A455" s="1" t="s">
        <v>429</v>
      </c>
      <c r="B455" s="2" t="str">
        <f>IFERROR(__xludf.DUMMYFUNCTION("GOOGLETRANSLATE(A455, ""de"", ""uk"")"),"перший місяць року січень.")</f>
        <v>перший місяць року січень.</v>
      </c>
    </row>
    <row r="456" ht="15.75" customHeight="1">
      <c r="A456" s="1" t="s">
        <v>450</v>
      </c>
      <c r="B456" s="2" t="str">
        <f>IFERROR(__xludf.DUMMYFUNCTION("GOOGLETRANSLATE(A456, ""de"", ""uk"")"),"Другий місяць – лютий.")</f>
        <v>Другий місяць – лютий.</v>
      </c>
    </row>
    <row r="457" ht="15.75" customHeight="1">
      <c r="A457" s="1" t="s">
        <v>431</v>
      </c>
      <c r="B457" s="2" t="str">
        <f>IFERROR(__xludf.DUMMYFUNCTION("GOOGLETRANSLATE(A457, ""de"", ""uk"")"),"третій місяць березень.")</f>
        <v>третій місяць березень.</v>
      </c>
    </row>
    <row r="458" ht="15.75" customHeight="1">
      <c r="A458" s="1" t="s">
        <v>432</v>
      </c>
      <c r="B458" s="2" t="str">
        <f>IFERROR(__xludf.DUMMYFUNCTION("GOOGLETRANSLATE(A458, ""de"", ""uk"")"),"четвертий місяць квітень.")</f>
        <v>четвертий місяць квітень.</v>
      </c>
    </row>
    <row r="459" ht="15.75" customHeight="1">
      <c r="A459" s="1" t="s">
        <v>433</v>
      </c>
      <c r="B459" s="2" t="str">
        <f>IFERROR(__xludf.DUMMYFUNCTION("GOOGLETRANSLATE(A459, ""de"", ""uk"")"),"П'ятий місяць травень.")</f>
        <v>П'ятий місяць травень.</v>
      </c>
    </row>
    <row r="460" ht="15.75" customHeight="1">
      <c r="A460" s="1" t="s">
        <v>434</v>
      </c>
      <c r="B460" s="2" t="str">
        <f>IFERROR(__xludf.DUMMYFUNCTION("GOOGLETRANSLATE(A460, ""de"", ""uk"")"),"Шостий місяць червень.")</f>
        <v>Шостий місяць червень.</v>
      </c>
    </row>
    <row r="461" ht="15.75" customHeight="1">
      <c r="A461" s="1" t="s">
        <v>435</v>
      </c>
      <c r="B461" s="2" t="str">
        <f>IFERROR(__xludf.DUMMYFUNCTION("GOOGLETRANSLATE(A461, ""de"", ""uk"")"),"Сьомий місяць — липень.")</f>
        <v>Сьомий місяць — липень.</v>
      </c>
    </row>
    <row r="462" ht="15.75" customHeight="1">
      <c r="A462" s="1" t="s">
        <v>436</v>
      </c>
      <c r="B462" s="2" t="str">
        <f>IFERROR(__xludf.DUMMYFUNCTION("GOOGLETRANSLATE(A462, ""de"", ""uk"")"),"Восьмий місяць – серпень.")</f>
        <v>Восьмий місяць – серпень.</v>
      </c>
    </row>
    <row r="463" ht="15.75" customHeight="1">
      <c r="A463" s="1" t="s">
        <v>437</v>
      </c>
      <c r="B463" s="2" t="str">
        <f>IFERROR(__xludf.DUMMYFUNCTION("GOOGLETRANSLATE(A463, ""de"", ""uk"")"),"Дев'ятий місяць - вересень.")</f>
        <v>Дев'ятий місяць - вересень.</v>
      </c>
    </row>
    <row r="464" ht="15.75" customHeight="1">
      <c r="A464" s="1" t="s">
        <v>438</v>
      </c>
      <c r="B464" s="2" t="str">
        <f>IFERROR(__xludf.DUMMYFUNCTION("GOOGLETRANSLATE(A464, ""de"", ""uk"")"),"Десятий місяць жовтень.")</f>
        <v>Десятий місяць жовтень.</v>
      </c>
    </row>
    <row r="465" ht="15.75" customHeight="1">
      <c r="A465" s="1" t="s">
        <v>451</v>
      </c>
      <c r="B465" s="2" t="str">
        <f>IFERROR(__xludf.DUMMYFUNCTION("GOOGLETRANSLATE(A465, ""de"", ""uk"")"),"Я беру половину торта.")</f>
        <v>Я беру половину торта.</v>
      </c>
    </row>
    <row r="466" ht="15.75" customHeight="1">
      <c r="A466" s="1" t="s">
        <v>452</v>
      </c>
      <c r="B466" s="2" t="str">
        <f>IFERROR(__xludf.DUMMYFUNCTION("GOOGLETRANSLATE(A466, ""de"", ""uk"")"),"Третина дев'яти - три.")</f>
        <v>Третина дев'яти - три.</v>
      </c>
    </row>
    <row r="467" ht="15.75" customHeight="1">
      <c r="A467" s="1" t="s">
        <v>453</v>
      </c>
      <c r="B467" s="2" t="str">
        <f>IFERROR(__xludf.DUMMYFUNCTION("GOOGLETRANSLATE(A467, ""de"", ""uk"")"),"Чверть євро - це двадцять п'ять центів.")</f>
        <v>Чверть євро - це двадцять п'ять центів.</v>
      </c>
    </row>
    <row r="468" ht="15.75" customHeight="1">
      <c r="A468" s="1" t="s">
        <v>454</v>
      </c>
      <c r="B468" s="2" t="str">
        <f>IFERROR(__xludf.DUMMYFUNCTION("GOOGLETRANSLATE(A468, ""de"", ""uk"")"),"П'ята частина десяти - це два.")</f>
        <v>П'ята частина десяти - це два.</v>
      </c>
    </row>
    <row r="469" ht="15.75" customHeight="1">
      <c r="A469" s="1" t="s">
        <v>455</v>
      </c>
      <c r="B469" s="2" t="str">
        <f>IFERROR(__xludf.DUMMYFUNCTION("GOOGLETRANSLATE(A469, ""de"", ""uk"")"),"Одна шоста від дванадцяти дорівнює двом.")</f>
        <v>Одна шоста від дванадцяти дорівнює двом.</v>
      </c>
    </row>
    <row r="470" ht="15.75" customHeight="1">
      <c r="A470" s="1" t="s">
        <v>456</v>
      </c>
      <c r="B470" s="2" t="str">
        <f>IFERROR(__xludf.DUMMYFUNCTION("GOOGLETRANSLATE(A470, ""de"", ""uk"")"),"Одна сьома від двадцяти одного дорівнює трьом.")</f>
        <v>Одна сьома від двадцяти одного дорівнює трьом.</v>
      </c>
    </row>
    <row r="471" ht="15.75" customHeight="1">
      <c r="A471" s="1" t="s">
        <v>457</v>
      </c>
      <c r="B471" s="2" t="str">
        <f>IFERROR(__xludf.DUMMYFUNCTION("GOOGLETRANSLATE(A471, ""de"", ""uk"")"),"Одна восьма від двадцяти чотирьох дорівнює три.")</f>
        <v>Одна восьма від двадцяти чотирьох дорівнює три.</v>
      </c>
    </row>
    <row r="472" ht="15.75" customHeight="1">
      <c r="A472" s="1" t="s">
        <v>458</v>
      </c>
      <c r="B472" s="2" t="str">
        <f>IFERROR(__xludf.DUMMYFUNCTION("GOOGLETRANSLATE(A472, ""de"", ""uk"")"),"Одна дев'ята з дев'яноста - це десять.")</f>
        <v>Одна дев'ята з дев'яноста - це десять.</v>
      </c>
    </row>
    <row r="473" ht="15.75" customHeight="1">
      <c r="A473" s="1" t="s">
        <v>459</v>
      </c>
      <c r="B473" s="2" t="str">
        <f>IFERROR(__xludf.DUMMYFUNCTION("GOOGLETRANSLATE(A473, ""de"", ""uk"")"),"Десята частина сотні — десять.")</f>
        <v>Десята частина сотні — десять.</v>
      </c>
    </row>
    <row r="474" ht="15.75" customHeight="1">
      <c r="A474" s="1" t="s">
        <v>460</v>
      </c>
      <c r="B474" s="2" t="str">
        <f>IFERROR(__xludf.DUMMYFUNCTION("GOOGLETRANSLATE(A474, ""de"", ""uk"")"),"Форма подарунка - квадрат.")</f>
        <v>Форма подарунка - квадрат.</v>
      </c>
    </row>
    <row r="475" ht="15.75" customHeight="1">
      <c r="A475" s="1" t="s">
        <v>461</v>
      </c>
      <c r="B475" s="2" t="str">
        <f>IFERROR(__xludf.DUMMYFUNCTION("GOOGLETRANSLATE(A475, ""de"", ""uk"")"),"Дитина рахує кружечки.")</f>
        <v>Дитина рахує кружечки.</v>
      </c>
    </row>
    <row r="476" ht="15.75" customHeight="1">
      <c r="A476" s="1" t="s">
        <v>462</v>
      </c>
      <c r="B476" s="2" t="str">
        <f>IFERROR(__xludf.DUMMYFUNCTION("GOOGLETRANSLATE(A476, ""de"", ""uk"")"),"Трикутник має три кути.")</f>
        <v>Трикутник має три кути.</v>
      </c>
    </row>
    <row r="477" ht="15.75" customHeight="1">
      <c r="A477" s="1" t="s">
        <v>463</v>
      </c>
      <c r="B477" s="2" t="str">
        <f>IFERROR(__xludf.DUMMYFUNCTION("GOOGLETRANSLATE(A477, ""de"", ""uk"")"),"Чотирикутник має чотири кути.")</f>
        <v>Чотирикутник має чотири кути.</v>
      </c>
    </row>
    <row r="478" ht="15.75" customHeight="1">
      <c r="A478" s="1" t="s">
        <v>464</v>
      </c>
      <c r="B478" s="2" t="str">
        <f>IFERROR(__xludf.DUMMYFUNCTION("GOOGLETRANSLATE(A478, ""de"", ""uk"")"),"Стрілка годинника на дев’ятій.")</f>
        <v>Стрілка годинника на дев’ятій.</v>
      </c>
    </row>
    <row r="479" ht="15.75" customHeight="1">
      <c r="A479" s="1" t="s">
        <v>465</v>
      </c>
      <c r="B479" s="2" t="str">
        <f>IFERROR(__xludf.DUMMYFUNCTION("GOOGLETRANSLATE(A479, ""de"", ""uk"")"),"Стрілка є частиною годинника.")</f>
        <v>Стрілка є частиною годинника.</v>
      </c>
    </row>
    <row r="480" ht="15.75" customHeight="1">
      <c r="A480" s="1" t="s">
        <v>466</v>
      </c>
      <c r="B480" s="2" t="str">
        <f>IFERROR(__xludf.DUMMYFUNCTION("GOOGLETRANSLATE(A480, ""de"", ""uk"")"),"Призначення о восьмій вечора.")</f>
        <v>Призначення о восьмій вечора.</v>
      </c>
    </row>
    <row r="481" ht="15.75" customHeight="1">
      <c r="A481" s="1" t="s">
        <v>467</v>
      </c>
      <c r="B481" s="2" t="str">
        <f>IFERROR(__xludf.DUMMYFUNCTION("GOOGLETRANSLATE(A481, ""de"", ""uk"")"),"їсти")</f>
        <v>їсти</v>
      </c>
    </row>
    <row r="482" ht="15.75" customHeight="1">
      <c r="A482" s="1" t="s">
        <v>468</v>
      </c>
      <c r="B482" s="2" t="str">
        <f>IFERROR(__xludf.DUMMYFUNCTION("GOOGLETRANSLATE(A482, ""de"", ""uk"")"),"випікати")</f>
        <v>випікати</v>
      </c>
    </row>
    <row r="483" ht="15.75" customHeight="1">
      <c r="A483" s="1" t="s">
        <v>469</v>
      </c>
      <c r="B483" s="2" t="str">
        <f>IFERROR(__xludf.DUMMYFUNCTION("GOOGLETRANSLATE(A483, ""de"", ""uk"")"),"пити")</f>
        <v>пити</v>
      </c>
    </row>
    <row r="484" ht="15.75" customHeight="1">
      <c r="A484" s="1" t="s">
        <v>470</v>
      </c>
      <c r="B484" s="2" t="str">
        <f>IFERROR(__xludf.DUMMYFUNCTION("GOOGLETRANSLATE(A484, ""de"", ""uk"")"),"снідати")</f>
        <v>снідати</v>
      </c>
    </row>
    <row r="485" ht="15.75" customHeight="1">
      <c r="A485" s="1" t="s">
        <v>471</v>
      </c>
      <c r="B485" s="2" t="str">
        <f>IFERROR(__xludf.DUMMYFUNCTION("GOOGLETRANSLATE(A485, ""de"", ""uk"")"),"готувати")</f>
        <v>готувати</v>
      </c>
    </row>
    <row r="486" ht="15.75" customHeight="1">
      <c r="A486" s="1" t="s">
        <v>472</v>
      </c>
      <c r="B486" s="2" t="str">
        <f>IFERROR(__xludf.DUMMYFUNCTION("GOOGLETRANSLATE(A486, ""de"", ""uk"")"),"порядок")</f>
        <v>порядок</v>
      </c>
    </row>
    <row r="487" ht="15.75" customHeight="1">
      <c r="A487" s="1" t="s">
        <v>473</v>
      </c>
      <c r="B487" s="2" t="str">
        <f>IFERROR(__xludf.DUMMYFUNCTION("GOOGLETRANSLATE(A487, ""de"", ""uk"")"),"покупки")</f>
        <v>покупки</v>
      </c>
    </row>
    <row r="488" ht="15.75" customHeight="1">
      <c r="A488" s="1" t="s">
        <v>474</v>
      </c>
      <c r="B488" s="2" t="str">
        <f>IFERROR(__xludf.DUMMYFUNCTION("GOOGLETRANSLATE(A488, ""de"", ""uk"")"),"вартість")</f>
        <v>вартість</v>
      </c>
    </row>
    <row r="489" ht="15.75" customHeight="1">
      <c r="A489" s="1" t="s">
        <v>475</v>
      </c>
      <c r="B489" s="2" t="str">
        <f>IFERROR(__xludf.DUMMYFUNCTION("GOOGLETRANSLATE(A489, ""de"", ""uk"")"),"продати")</f>
        <v>продати</v>
      </c>
    </row>
    <row r="490" ht="15.75" customHeight="1">
      <c r="A490" s="1" t="s">
        <v>476</v>
      </c>
      <c r="B490" s="2" t="str">
        <f>IFERROR(__xludf.DUMMYFUNCTION("GOOGLETRANSLATE(A490, ""de"", ""uk"")"),"купити")</f>
        <v>купити</v>
      </c>
    </row>
    <row r="491" ht="15.75" customHeight="1">
      <c r="A491" s="1" t="s">
        <v>477</v>
      </c>
      <c r="B491" s="2" t="str">
        <f>IFERROR(__xludf.DUMMYFUNCTION("GOOGLETRANSLATE(A491, ""de"", ""uk"")"),"платити")</f>
        <v>платити</v>
      </c>
    </row>
    <row r="492" ht="15.75" customHeight="1">
      <c r="A492" s="1" t="s">
        <v>478</v>
      </c>
      <c r="B492" s="2" t="str">
        <f>IFERROR(__xludf.DUMMYFUNCTION("GOOGLETRANSLATE(A492, ""de"", ""uk"")"),"пропозиція")</f>
        <v>пропозиція</v>
      </c>
    </row>
    <row r="493" ht="15.75" customHeight="1">
      <c r="A493" s="1" t="s">
        <v>479</v>
      </c>
      <c r="B493" s="2" t="str">
        <f>IFERROR(__xludf.DUMMYFUNCTION("GOOGLETRANSLATE(A493, ""de"", ""uk"")"),"запитати")</f>
        <v>запитати</v>
      </c>
    </row>
    <row r="494" ht="15.75" customHeight="1">
      <c r="A494" s="1" t="s">
        <v>480</v>
      </c>
      <c r="B494" s="2" t="str">
        <f>IFERROR(__xludf.DUMMYFUNCTION("GOOGLETRANSLATE(A494, ""de"", ""uk"")"),"дати")</f>
        <v>дати</v>
      </c>
    </row>
    <row r="495" ht="15.75" customHeight="1">
      <c r="A495" s="1" t="s">
        <v>481</v>
      </c>
      <c r="B495" s="2" t="str">
        <f>IFERROR(__xludf.DUMMYFUNCTION("GOOGLETRANSLATE(A495, ""de"", ""uk"")"),"взяти")</f>
        <v>взяти</v>
      </c>
    </row>
    <row r="496" ht="15.75" customHeight="1">
      <c r="A496" s="1" t="s">
        <v>290</v>
      </c>
      <c r="B496" s="2" t="str">
        <f>IFERROR(__xludf.DUMMYFUNCTION("GOOGLETRANSLATE(A496, ""de"", ""uk"")"),"закрити")</f>
        <v>закрити</v>
      </c>
    </row>
    <row r="497" ht="15.75" customHeight="1">
      <c r="A497" s="1" t="s">
        <v>289</v>
      </c>
      <c r="B497" s="2" t="str">
        <f>IFERROR(__xludf.DUMMYFUNCTION("GOOGLETRANSLATE(A497, ""de"", ""uk"")"),"ВІДЧИНЕНО")</f>
        <v>ВІДЧИНЕНО</v>
      </c>
    </row>
    <row r="498" ht="15.75" customHeight="1">
      <c r="A498" s="1" t="s">
        <v>482</v>
      </c>
      <c r="B498" s="2" t="str">
        <f>IFERROR(__xludf.DUMMYFUNCTION("GOOGLETRANSLATE(A498, ""de"", ""uk"")"),"вибрати")</f>
        <v>вибрати</v>
      </c>
    </row>
    <row r="499" ht="15.75" customHeight="1">
      <c r="A499" s="1" t="s">
        <v>483</v>
      </c>
      <c r="B499" s="2" t="str">
        <f>IFERROR(__xludf.DUMMYFUNCTION("GOOGLETRANSLATE(A499, ""de"", ""uk"")"),"може")</f>
        <v>може</v>
      </c>
    </row>
    <row r="500" ht="15.75" customHeight="1">
      <c r="A500" s="1" t="s">
        <v>484</v>
      </c>
      <c r="B500" s="2" t="str">
        <f>IFERROR(__xludf.DUMMYFUNCTION("GOOGLETRANSLATE(A500, ""de"", ""uk"")"),"хочуть")</f>
        <v>хочуть</v>
      </c>
    </row>
    <row r="501" ht="15.75" customHeight="1">
      <c r="A501" s="1" t="s">
        <v>485</v>
      </c>
      <c r="B501" s="2" t="str">
        <f>IFERROR(__xludf.DUMMYFUNCTION("GOOGLETRANSLATE(A501, ""de"", ""uk"")"),"описати")</f>
        <v>описати</v>
      </c>
    </row>
    <row r="502" ht="15.75" customHeight="1">
      <c r="A502" s="1" t="s">
        <v>486</v>
      </c>
      <c r="B502" s="2" t="str">
        <f>IFERROR(__xludf.DUMMYFUNCTION("GOOGLETRANSLATE(A502, ""de"", ""uk"")"),"гниль")</f>
        <v>гниль</v>
      </c>
    </row>
    <row r="503" ht="15.75" customHeight="1">
      <c r="A503" s="1" t="s">
        <v>477</v>
      </c>
      <c r="B503" s="2" t="str">
        <f>IFERROR(__xludf.DUMMYFUNCTION("GOOGLETRANSLATE(A503, ""de"", ""uk"")"),"платити")</f>
        <v>платити</v>
      </c>
    </row>
    <row r="504" ht="15.75" customHeight="1">
      <c r="A504" s="1" t="s">
        <v>487</v>
      </c>
      <c r="B504" s="2" t="str">
        <f>IFERROR(__xludf.DUMMYFUNCTION("GOOGLETRANSLATE(A504, ""de"", ""uk"")"),"отримати")</f>
        <v>отримати</v>
      </c>
    </row>
    <row r="505" ht="15.75" customHeight="1">
      <c r="A505" s="1" t="s">
        <v>488</v>
      </c>
      <c r="B505" s="2" t="str">
        <f>IFERROR(__xludf.DUMMYFUNCTION("GOOGLETRANSLATE(A505, ""de"", ""uk"")"),"є достатніми")</f>
        <v>є достатніми</v>
      </c>
    </row>
    <row r="506" ht="15.75" customHeight="1">
      <c r="A506" s="1" t="s">
        <v>489</v>
      </c>
      <c r="B506" s="2" t="str">
        <f>IFERROR(__xludf.DUMMYFUNCTION("GOOGLETRANSLATE(A506, ""de"", ""uk"")"),"вирізати")</f>
        <v>вирізати</v>
      </c>
    </row>
    <row r="507" ht="15.75" customHeight="1">
      <c r="A507" s="1" t="s">
        <v>490</v>
      </c>
      <c r="B507" s="2" t="str">
        <f>IFERROR(__xludf.DUMMYFUNCTION("GOOGLETRANSLATE(A507, ""de"", ""uk"")"),"вибрати")</f>
        <v>вибрати</v>
      </c>
    </row>
    <row r="508" ht="15.75" customHeight="1">
      <c r="A508" s="1" t="s">
        <v>491</v>
      </c>
      <c r="B508" s="2" t="str">
        <f>IFERROR(__xludf.DUMMYFUNCTION("GOOGLETRANSLATE(A508, ""de"", ""uk"")"),"хочуть")</f>
        <v>хочуть</v>
      </c>
    </row>
    <row r="509" ht="15.75" customHeight="1">
      <c r="A509" s="1" t="s">
        <v>492</v>
      </c>
      <c r="B509" s="2" t="str">
        <f>IFERROR(__xludf.DUMMYFUNCTION("GOOGLETRANSLATE(A509, ""de"", ""uk"")"),"мати з собою")</f>
        <v>мати з собою</v>
      </c>
    </row>
    <row r="510" ht="15.75" customHeight="1">
      <c r="A510" s="1" t="s">
        <v>493</v>
      </c>
      <c r="B510" s="2" t="str">
        <f>IFERROR(__xludf.DUMMYFUNCTION("GOOGLETRANSLATE(A510, ""de"", ""uk"")"),"бути")</f>
        <v>бути</v>
      </c>
    </row>
    <row r="511" ht="15.75" customHeight="1">
      <c r="A511" s="1" t="s">
        <v>494</v>
      </c>
      <c r="B511" s="2" t="str">
        <f>IFERROR(__xludf.DUMMYFUNCTION("GOOGLETRANSLATE(A511, ""de"", ""uk"")"),"як")</f>
        <v>як</v>
      </c>
    </row>
    <row r="512" ht="15.75" customHeight="1">
      <c r="A512" s="1" t="s">
        <v>495</v>
      </c>
      <c r="B512" s="2" t="str">
        <f>IFERROR(__xludf.DUMMYFUNCTION("GOOGLETRANSLATE(A512, ""de"", ""uk"")"),"голод")</f>
        <v>голод</v>
      </c>
    </row>
    <row r="513" ht="15.75" customHeight="1">
      <c r="A513" s="1" t="s">
        <v>496</v>
      </c>
      <c r="B513" s="2" t="str">
        <f>IFERROR(__xludf.DUMMYFUNCTION("GOOGLETRANSLATE(A513, ""de"", ""uk"")"),"спрага")</f>
        <v>спрага</v>
      </c>
    </row>
    <row r="514" ht="15.75" customHeight="1">
      <c r="A514" s="1" t="s">
        <v>497</v>
      </c>
      <c r="B514" s="2" t="str">
        <f>IFERROR(__xludf.DUMMYFUNCTION("GOOGLETRANSLATE(A514, ""de"", ""uk"")"),"сніданок")</f>
        <v>сніданок</v>
      </c>
    </row>
    <row r="515" ht="15.75" customHeight="1">
      <c r="A515" s="1" t="s">
        <v>498</v>
      </c>
      <c r="B515" s="2" t="str">
        <f>IFERROR(__xludf.DUMMYFUNCTION("GOOGLETRANSLATE(A515, ""de"", ""uk"")"),"обід")</f>
        <v>обід</v>
      </c>
    </row>
    <row r="516" ht="15.75" customHeight="1">
      <c r="A516" s="1" t="s">
        <v>499</v>
      </c>
      <c r="B516" s="2" t="str">
        <f>IFERROR(__xludf.DUMMYFUNCTION("GOOGLETRANSLATE(A516, ""de"", ""uk"")"),"вечеря")</f>
        <v>вечеря</v>
      </c>
    </row>
    <row r="517" ht="15.75" customHeight="1">
      <c r="A517" s="1" t="s">
        <v>500</v>
      </c>
      <c r="B517" s="2" t="str">
        <f>IFERROR(__xludf.DUMMYFUNCTION("GOOGLETRANSLATE(A517, ""de"", ""uk"")"),"скло")</f>
        <v>скло</v>
      </c>
    </row>
    <row r="518" ht="15.75" customHeight="1">
      <c r="A518" s="1" t="s">
        <v>501</v>
      </c>
      <c r="B518" s="2" t="str">
        <f>IFERROR(__xludf.DUMMYFUNCTION("GOOGLETRANSLATE(A518, ""de"", ""uk"")"),"пляшка")</f>
        <v>пляшка</v>
      </c>
    </row>
    <row r="519" ht="15.75" customHeight="1">
      <c r="A519" s="1" t="s">
        <v>502</v>
      </c>
      <c r="B519" s="2" t="str">
        <f>IFERROR(__xludf.DUMMYFUNCTION("GOOGLETRANSLATE(A519, ""de"", ""uk"")"),"посуд")</f>
        <v>посуд</v>
      </c>
    </row>
    <row r="520" ht="15.75" customHeight="1">
      <c r="A520" s="1" t="s">
        <v>503</v>
      </c>
      <c r="B520" s="2" t="str">
        <f>IFERROR(__xludf.DUMMYFUNCTION("GOOGLETRANSLATE(A520, ""de"", ""uk"")"),"чашка")</f>
        <v>чашка</v>
      </c>
    </row>
    <row r="521" ht="15.75" customHeight="1">
      <c r="A521" s="1" t="s">
        <v>504</v>
      </c>
      <c r="B521" s="2" t="str">
        <f>IFERROR(__xludf.DUMMYFUNCTION("GOOGLETRANSLATE(A521, ""de"", ""uk"")"),"блюдце")</f>
        <v>блюдце</v>
      </c>
    </row>
    <row r="522" ht="15.75" customHeight="1">
      <c r="A522" s="1" t="s">
        <v>505</v>
      </c>
      <c r="B522" s="2" t="str">
        <f>IFERROR(__xludf.DUMMYFUNCTION("GOOGLETRANSLATE(A522, ""de"", ""uk"")"),"блюдо")</f>
        <v>блюдо</v>
      </c>
    </row>
    <row r="523" ht="15.75" customHeight="1">
      <c r="A523" s="1" t="s">
        <v>506</v>
      </c>
      <c r="B523" s="2" t="str">
        <f>IFERROR(__xludf.DUMMYFUNCTION("GOOGLETRANSLATE(A523, ""de"", ""uk"")"),"столові прибори")</f>
        <v>столові прибори</v>
      </c>
    </row>
    <row r="524" ht="15.75" customHeight="1">
      <c r="A524" s="1" t="s">
        <v>507</v>
      </c>
      <c r="B524" s="2" t="str">
        <f>IFERROR(__xludf.DUMMYFUNCTION("GOOGLETRANSLATE(A524, ""de"", ""uk"")"),"ніж")</f>
        <v>ніж</v>
      </c>
    </row>
    <row r="525" ht="15.75" customHeight="1">
      <c r="A525" s="1" t="s">
        <v>508</v>
      </c>
      <c r="B525" s="2" t="str">
        <f>IFERROR(__xludf.DUMMYFUNCTION("GOOGLETRANSLATE(A525, ""de"", ""uk"")"),"вилка")</f>
        <v>вилка</v>
      </c>
    </row>
    <row r="526" ht="15.75" customHeight="1">
      <c r="A526" s="1" t="s">
        <v>509</v>
      </c>
      <c r="B526" s="2" t="str">
        <f>IFERROR(__xludf.DUMMYFUNCTION("GOOGLETRANSLATE(A526, ""de"", ""uk"")"),"ложка")</f>
        <v>ложка</v>
      </c>
    </row>
    <row r="527" ht="15.75" customHeight="1">
      <c r="A527" s="1" t="s">
        <v>510</v>
      </c>
      <c r="B527" s="2" t="str">
        <f>IFERROR(__xludf.DUMMYFUNCTION("GOOGLETRANSLATE(A527, ""de"", ""uk"")"),"їжа")</f>
        <v>їжа</v>
      </c>
    </row>
    <row r="528" ht="15.75" customHeight="1">
      <c r="A528" s="1" t="s">
        <v>511</v>
      </c>
      <c r="B528" s="2" t="str">
        <f>IFERROR(__xludf.DUMMYFUNCTION("GOOGLETRANSLATE(A528, ""de"", ""uk"")"),"смак")</f>
        <v>смак</v>
      </c>
    </row>
    <row r="529" ht="15.75" customHeight="1">
      <c r="A529" s="1" t="s">
        <v>512</v>
      </c>
      <c r="B529" s="2" t="str">
        <f>IFERROR(__xludf.DUMMYFUNCTION("GOOGLETRANSLATE(A529, ""de"", ""uk"")"),"сумка")</f>
        <v>сумка</v>
      </c>
    </row>
    <row r="530" ht="15.75" customHeight="1">
      <c r="A530" s="1" t="s">
        <v>513</v>
      </c>
      <c r="B530" s="2" t="str">
        <f>IFERROR(__xludf.DUMMYFUNCTION("GOOGLETRANSLATE(A530, ""de"", ""uk"")"),"сигарета")</f>
        <v>сигарета</v>
      </c>
    </row>
    <row r="531" ht="15.75" customHeight="1">
      <c r="A531" s="1" t="s">
        <v>514</v>
      </c>
      <c r="B531" s="2" t="str">
        <f>IFERROR(__xludf.DUMMYFUNCTION("GOOGLETRANSLATE(A531, ""de"", ""uk"")"),"запальничка")</f>
        <v>запальничка</v>
      </c>
    </row>
    <row r="532" ht="15.75" customHeight="1">
      <c r="A532" s="1" t="s">
        <v>515</v>
      </c>
      <c r="B532" s="2" t="str">
        <f>IFERROR(__xludf.DUMMYFUNCTION("GOOGLETRANSLATE(A532, ""de"", ""uk"")"),"матч")</f>
        <v>матч</v>
      </c>
    </row>
    <row r="533" ht="15.75" customHeight="1">
      <c r="A533" s="1" t="s">
        <v>516</v>
      </c>
      <c r="B533" s="2" t="str">
        <f>IFERROR(__xludf.DUMMYFUNCTION("GOOGLETRANSLATE(A533, ""de"", ""uk"")"),"офіціант/офіціантка")</f>
        <v>офіціант/офіціантка</v>
      </c>
    </row>
    <row r="534" ht="15.75" customHeight="1">
      <c r="A534" s="1" t="s">
        <v>517</v>
      </c>
      <c r="B534" s="2" t="str">
        <f>IFERROR(__xludf.DUMMYFUNCTION("GOOGLETRANSLATE(A534, ""de"", ""uk"")"),"меню")</f>
        <v>меню</v>
      </c>
    </row>
    <row r="535" ht="15.75" customHeight="1">
      <c r="A535" s="1" t="s">
        <v>518</v>
      </c>
      <c r="B535" s="2" t="str">
        <f>IFERROR(__xludf.DUMMYFUNCTION("GOOGLETRANSLATE(A535, ""de"", ""uk"")"),"продавець")</f>
        <v>продавець</v>
      </c>
    </row>
    <row r="536" ht="15.75" customHeight="1">
      <c r="A536" s="1" t="s">
        <v>519</v>
      </c>
      <c r="B536" s="2" t="str">
        <f>IFERROR(__xludf.DUMMYFUNCTION("GOOGLETRANSLATE(A536, ""de"", ""uk"")"),"клієнт")</f>
        <v>клієнт</v>
      </c>
    </row>
    <row r="537" ht="15.75" customHeight="1">
      <c r="A537" s="1" t="s">
        <v>520</v>
      </c>
      <c r="B537" s="2" t="str">
        <f>IFERROR(__xludf.DUMMYFUNCTION("GOOGLETRANSLATE(A537, ""de"", ""uk"")"),"бажання")</f>
        <v>бажання</v>
      </c>
    </row>
    <row r="538" ht="15.75" customHeight="1">
      <c r="A538" s="1" t="s">
        <v>521</v>
      </c>
      <c r="B538" s="2" t="str">
        <f>IFERROR(__xludf.DUMMYFUNCTION("GOOGLETRANSLATE(A538, ""de"", ""uk"")"),"торгівля")</f>
        <v>торгівля</v>
      </c>
    </row>
    <row r="539" ht="15.75" customHeight="1">
      <c r="A539" s="1" t="s">
        <v>522</v>
      </c>
      <c r="B539" s="2" t="str">
        <f>IFERROR(__xludf.DUMMYFUNCTION("GOOGLETRANSLATE(A539, ""de"", ""uk"")"),"покупка")</f>
        <v>покупка</v>
      </c>
    </row>
    <row r="540" ht="15.75" customHeight="1">
      <c r="A540" s="1" t="s">
        <v>523</v>
      </c>
      <c r="B540" s="2" t="str">
        <f>IFERROR(__xludf.DUMMYFUNCTION("GOOGLETRANSLATE(A540, ""de"", ""uk"")"),"дієта")</f>
        <v>дієта</v>
      </c>
    </row>
    <row r="541" ht="15.75" customHeight="1">
      <c r="A541" s="1" t="s">
        <v>524</v>
      </c>
      <c r="B541" s="2" t="str">
        <f>IFERROR(__xludf.DUMMYFUNCTION("GOOGLETRANSLATE(A541, ""de"", ""uk"")"),"їжа")</f>
        <v>їжа</v>
      </c>
    </row>
    <row r="542" ht="15.75" customHeight="1">
      <c r="A542" s="1" t="s">
        <v>525</v>
      </c>
      <c r="B542" s="2" t="str">
        <f>IFERROR(__xludf.DUMMYFUNCTION("GOOGLETRANSLATE(A542, ""de"", ""uk"")"),"служба")</f>
        <v>служба</v>
      </c>
    </row>
    <row r="543" ht="15.75" customHeight="1">
      <c r="A543" s="1" t="s">
        <v>526</v>
      </c>
      <c r="B543" s="2" t="str">
        <f>IFERROR(__xludf.DUMMYFUNCTION("GOOGLETRANSLATE(A543, ""de"", ""uk"")"),"принаймні")</f>
        <v>принаймні</v>
      </c>
    </row>
    <row r="544" ht="15.75" customHeight="1">
      <c r="A544" s="1" t="s">
        <v>527</v>
      </c>
      <c r="B544" s="2" t="str">
        <f>IFERROR(__xludf.DUMMYFUNCTION("GOOGLETRANSLATE(A544, ""de"", ""uk"")"),"багато")</f>
        <v>багато</v>
      </c>
    </row>
    <row r="545" ht="15.75" customHeight="1">
      <c r="A545" s="1" t="s">
        <v>528</v>
      </c>
      <c r="B545" s="2" t="str">
        <f>IFERROR(__xludf.DUMMYFUNCTION("GOOGLETRANSLATE(A545, ""de"", ""uk"")"),"досить")</f>
        <v>досить</v>
      </c>
    </row>
    <row r="546" ht="15.75" customHeight="1">
      <c r="A546" s="1" t="s">
        <v>529</v>
      </c>
      <c r="B546" s="2" t="str">
        <f>IFERROR(__xludf.DUMMYFUNCTION("GOOGLETRANSLATE(A546, ""de"", ""uk"")"),"точно")</f>
        <v>точно</v>
      </c>
    </row>
    <row r="547" ht="15.75" customHeight="1">
      <c r="A547" s="1" t="s">
        <v>530</v>
      </c>
      <c r="B547" s="2" t="str">
        <f>IFERROR(__xludf.DUMMYFUNCTION("GOOGLETRANSLATE(A547, ""de"", ""uk"")"),"дуже")</f>
        <v>дуже</v>
      </c>
    </row>
    <row r="548" ht="15.75" customHeight="1">
      <c r="A548" s="1" t="s">
        <v>531</v>
      </c>
      <c r="B548" s="2" t="str">
        <f>IFERROR(__xludf.DUMMYFUNCTION("GOOGLETRANSLATE(A548, ""de"", ""uk"")"),"приблизно")</f>
        <v>приблизно</v>
      </c>
    </row>
    <row r="549" ht="15.75" customHeight="1">
      <c r="A549" s="1" t="s">
        <v>532</v>
      </c>
      <c r="B549" s="2" t="str">
        <f>IFERROR(__xludf.DUMMYFUNCTION("GOOGLETRANSLATE(A549, ""de"", ""uk"")"),"мало")</f>
        <v>мало</v>
      </c>
    </row>
    <row r="550" ht="15.75" customHeight="1">
      <c r="A550" s="1" t="s">
        <v>30</v>
      </c>
      <c r="B550" s="2" t="str">
        <f>IFERROR(__xludf.DUMMYFUNCTION("GOOGLETRANSLATE(A550, ""de"", ""uk"")"),"трохи")</f>
        <v>трохи</v>
      </c>
    </row>
    <row r="551" ht="15.75" customHeight="1">
      <c r="A551" s="1" t="s">
        <v>533</v>
      </c>
      <c r="B551" s="2" t="str">
        <f>IFERROR(__xludf.DUMMYFUNCTION("GOOGLETRANSLATE(A551, ""de"", ""uk"")"),"занадто мало")</f>
        <v>занадто мало</v>
      </c>
    </row>
    <row r="552" ht="15.75" customHeight="1">
      <c r="A552" s="1" t="s">
        <v>534</v>
      </c>
      <c r="B552" s="2" t="str">
        <f>IFERROR(__xludf.DUMMYFUNCTION("GOOGLETRANSLATE(A552, ""de"", ""uk"")"),"занадто багато")</f>
        <v>занадто багато</v>
      </c>
    </row>
    <row r="553" ht="15.75" customHeight="1">
      <c r="A553" s="1" t="s">
        <v>535</v>
      </c>
      <c r="B553" s="2" t="str">
        <f>IFERROR(__xludf.DUMMYFUNCTION("GOOGLETRANSLATE(A553, ""de"", ""uk"")"),"щось")</f>
        <v>щось</v>
      </c>
    </row>
    <row r="554" ht="15.75" customHeight="1">
      <c r="A554" s="1" t="s">
        <v>536</v>
      </c>
      <c r="B554" s="2" t="str">
        <f>IFERROR(__xludf.DUMMYFUNCTION("GOOGLETRANSLATE(A554, ""de"", ""uk"")"),"нічого")</f>
        <v>нічого</v>
      </c>
    </row>
    <row r="555" ht="15.75" customHeight="1">
      <c r="A555" s="1" t="s">
        <v>537</v>
      </c>
      <c r="B555" s="2" t="str">
        <f>IFERROR(__xludf.DUMMYFUNCTION("GOOGLETRANSLATE(A555, ""de"", ""uk"")"),"немає")</f>
        <v>немає</v>
      </c>
    </row>
    <row r="556" ht="15.75" customHeight="1">
      <c r="A556" s="1" t="s">
        <v>538</v>
      </c>
      <c r="B556" s="2" t="str">
        <f>IFERROR(__xludf.DUMMYFUNCTION("GOOGLETRANSLATE(A556, ""de"", ""uk"")"),"більше")</f>
        <v>більше</v>
      </c>
    </row>
    <row r="557" ht="15.75" customHeight="1">
      <c r="A557" s="1" t="s">
        <v>539</v>
      </c>
      <c r="B557" s="2" t="str">
        <f>IFERROR(__xludf.DUMMYFUNCTION("GOOGLETRANSLATE(A557, ""de"", ""uk"")"),"майже")</f>
        <v>майже</v>
      </c>
    </row>
    <row r="558" ht="15.75" customHeight="1">
      <c r="A558" s="1" t="s">
        <v>540</v>
      </c>
      <c r="B558" s="2" t="str">
        <f>IFERROR(__xludf.DUMMYFUNCTION("GOOGLETRANSLATE(A558, ""de"", ""uk"")"),"скільки")</f>
        <v>скільки</v>
      </c>
    </row>
    <row r="559" ht="15.75" customHeight="1">
      <c r="A559" s="1" t="s">
        <v>541</v>
      </c>
      <c r="B559" s="2" t="str">
        <f>IFERROR(__xludf.DUMMYFUNCTION("GOOGLETRANSLATE(A559, ""de"", ""uk"")"),"будь-коли")</f>
        <v>будь-коли</v>
      </c>
    </row>
    <row r="560" ht="15.75" customHeight="1">
      <c r="A560" s="1" t="s">
        <v>542</v>
      </c>
      <c r="B560" s="2" t="str">
        <f>IFERROR(__xludf.DUMMYFUNCTION("GOOGLETRANSLATE(A560, ""de"", ""uk"")"),"приблизно")</f>
        <v>приблизно</v>
      </c>
    </row>
    <row r="561" ht="15.75" customHeight="1">
      <c r="A561" s="1" t="s">
        <v>543</v>
      </c>
      <c r="B561" s="2" t="str">
        <f>IFERROR(__xludf.DUMMYFUNCTION("GOOGLETRANSLATE(A561, ""de"", ""uk"")"),"пер")</f>
        <v>пер</v>
      </c>
    </row>
    <row r="562" ht="15.75" customHeight="1">
      <c r="A562" s="1" t="s">
        <v>544</v>
      </c>
      <c r="B562" s="2" t="str">
        <f>IFERROR(__xludf.DUMMYFUNCTION("GOOGLETRANSLATE(A562, ""de"", ""uk"")"),"грам")</f>
        <v>грам</v>
      </c>
    </row>
    <row r="563" ht="15.75" customHeight="1">
      <c r="A563" s="1" t="s">
        <v>545</v>
      </c>
      <c r="B563" s="2" t="str">
        <f>IFERROR(__xludf.DUMMYFUNCTION("GOOGLETRANSLATE(A563, ""de"", ""uk"")"),"фунт")</f>
        <v>фунт</v>
      </c>
    </row>
    <row r="564" ht="15.75" customHeight="1">
      <c r="A564" s="1" t="s">
        <v>546</v>
      </c>
      <c r="B564" s="2" t="str">
        <f>IFERROR(__xludf.DUMMYFUNCTION("GOOGLETRANSLATE(A564, ""de"", ""uk"")"),"кілограм")</f>
        <v>кілограм</v>
      </c>
    </row>
    <row r="565" ht="15.75" customHeight="1">
      <c r="A565" s="1" t="s">
        <v>547</v>
      </c>
      <c r="B565" s="2" t="str">
        <f>IFERROR(__xludf.DUMMYFUNCTION("GOOGLETRANSLATE(A565, ""de"", ""uk"")"),"градусів Цельсія")</f>
        <v>градусів Цельсія</v>
      </c>
    </row>
    <row r="566" ht="15.75" customHeight="1">
      <c r="A566" s="1" t="s">
        <v>548</v>
      </c>
      <c r="B566" s="2" t="str">
        <f>IFERROR(__xludf.DUMMYFUNCTION("GOOGLETRANSLATE(A566, ""de"", ""uk"")"),"мілілітр")</f>
        <v>мілілітр</v>
      </c>
    </row>
    <row r="567" ht="15.75" customHeight="1">
      <c r="A567" s="1" t="s">
        <v>549</v>
      </c>
      <c r="B567" s="2" t="str">
        <f>IFERROR(__xludf.DUMMYFUNCTION("GOOGLETRANSLATE(A567, ""de"", ""uk"")"),"літр")</f>
        <v>літр</v>
      </c>
    </row>
    <row r="568" ht="15.75" customHeight="1">
      <c r="A568" s="1" t="s">
        <v>550</v>
      </c>
      <c r="B568" s="2" t="str">
        <f>IFERROR(__xludf.DUMMYFUNCTION("GOOGLETRANSLATE(A568, ""de"", ""uk"")"),"півлітра")</f>
        <v>півлітра</v>
      </c>
    </row>
    <row r="569" ht="15.75" customHeight="1">
      <c r="A569" s="1" t="s">
        <v>551</v>
      </c>
      <c r="B569" s="2" t="str">
        <f>IFERROR(__xludf.DUMMYFUNCTION("GOOGLETRANSLATE(A569, ""de"", ""uk"")"),"жерсть")</f>
        <v>жерсть</v>
      </c>
    </row>
    <row r="570" ht="15.75" customHeight="1">
      <c r="A570" s="1" t="s">
        <v>552</v>
      </c>
      <c r="B570" s="2" t="str">
        <f>IFERROR(__xludf.DUMMYFUNCTION("GOOGLETRANSLATE(A570, ""de"", ""uk"")"),"диск")</f>
        <v>диск</v>
      </c>
    </row>
    <row r="571" ht="15.75" customHeight="1">
      <c r="A571" s="1" t="s">
        <v>553</v>
      </c>
      <c r="B571" s="2" t="str">
        <f>IFERROR(__xludf.DUMMYFUNCTION("GOOGLETRANSLATE(A571, ""de"", ""uk"")"),"вершкове масло")</f>
        <v>вершкове масло</v>
      </c>
    </row>
    <row r="572" ht="15.75" customHeight="1">
      <c r="A572" s="1" t="s">
        <v>554</v>
      </c>
      <c r="B572" s="2" t="str">
        <f>IFERROR(__xludf.DUMMYFUNCTION("GOOGLETRANSLATE(A572, ""de"", ""uk"")"),"сир")</f>
        <v>сир</v>
      </c>
    </row>
    <row r="573" ht="15.75" customHeight="1">
      <c r="A573" s="1" t="s">
        <v>555</v>
      </c>
      <c r="B573" s="2" t="str">
        <f>IFERROR(__xludf.DUMMYFUNCTION("GOOGLETRANSLATE(A573, ""de"", ""uk"")"),"ковбаса")</f>
        <v>ковбаса</v>
      </c>
    </row>
    <row r="574" ht="15.75" customHeight="1">
      <c r="A574" s="1" t="s">
        <v>556</v>
      </c>
      <c r="B574" s="2" t="str">
        <f>IFERROR(__xludf.DUMMYFUNCTION("GOOGLETRANSLATE(A574, ""de"", ""uk"")"),"яйце")</f>
        <v>яйце</v>
      </c>
    </row>
    <row r="575" ht="15.75" customHeight="1">
      <c r="A575" s="1" t="s">
        <v>557</v>
      </c>
      <c r="B575" s="2" t="str">
        <f>IFERROR(__xludf.DUMMYFUNCTION("GOOGLETRANSLATE(A575, ""de"", ""uk"")"),"борошно")</f>
        <v>борошно</v>
      </c>
    </row>
    <row r="576" ht="15.75" customHeight="1">
      <c r="A576" s="1" t="s">
        <v>558</v>
      </c>
      <c r="B576" s="2" t="str">
        <f>IFERROR(__xludf.DUMMYFUNCTION("GOOGLETRANSLATE(A576, ""de"", ""uk"")"),"перець")</f>
        <v>перець</v>
      </c>
    </row>
    <row r="577" ht="15.75" customHeight="1">
      <c r="A577" s="1" t="s">
        <v>559</v>
      </c>
      <c r="B577" s="2" t="str">
        <f>IFERROR(__xludf.DUMMYFUNCTION("GOOGLETRANSLATE(A577, ""de"", ""uk"")"),"сіль")</f>
        <v>сіль</v>
      </c>
    </row>
    <row r="578" ht="15.75" customHeight="1">
      <c r="A578" s="1" t="s">
        <v>560</v>
      </c>
      <c r="B578" s="2" t="str">
        <f>IFERROR(__xludf.DUMMYFUNCTION("GOOGLETRANSLATE(A578, ""de"", ""uk"")"),"цукор")</f>
        <v>цукор</v>
      </c>
    </row>
    <row r="579" ht="15.75" customHeight="1">
      <c r="A579" s="1" t="s">
        <v>561</v>
      </c>
      <c r="B579" s="2" t="str">
        <f>IFERROR(__xludf.DUMMYFUNCTION("GOOGLETRANSLATE(A579, ""de"", ""uk"")"),"масло")</f>
        <v>масло</v>
      </c>
    </row>
    <row r="580" ht="15.75" customHeight="1">
      <c r="A580" s="1" t="s">
        <v>562</v>
      </c>
      <c r="B580" s="2" t="str">
        <f>IFERROR(__xludf.DUMMYFUNCTION("GOOGLETRANSLATE(A580, ""de"", ""uk"")"),"оцет")</f>
        <v>оцет</v>
      </c>
    </row>
    <row r="581" ht="15.75" customHeight="1">
      <c r="A581" s="1" t="s">
        <v>563</v>
      </c>
      <c r="B581" s="2" t="str">
        <f>IFERROR(__xludf.DUMMYFUNCTION("GOOGLETRANSLATE(A581, ""de"", ""uk"")"),"локшина")</f>
        <v>локшина</v>
      </c>
    </row>
    <row r="582" ht="15.75" customHeight="1">
      <c r="A582" s="1" t="s">
        <v>564</v>
      </c>
      <c r="B582" s="2" t="str">
        <f>IFERROR(__xludf.DUMMYFUNCTION("GOOGLETRANSLATE(A582, ""de"", ""uk"")"),"рис")</f>
        <v>рис</v>
      </c>
    </row>
    <row r="583" ht="15.75" customHeight="1">
      <c r="A583" s="1" t="s">
        <v>565</v>
      </c>
      <c r="B583" s="2" t="str">
        <f>IFERROR(__xludf.DUMMYFUNCTION("GOOGLETRANSLATE(A583, ""de"", ""uk"")"),"риба")</f>
        <v>риба</v>
      </c>
    </row>
    <row r="584" ht="15.75" customHeight="1">
      <c r="A584" s="1" t="s">
        <v>566</v>
      </c>
      <c r="B584" s="2" t="str">
        <f>IFERROR(__xludf.DUMMYFUNCTION("GOOGLETRANSLATE(A584, ""de"", ""uk"")"),"м'ясо")</f>
        <v>м'ясо</v>
      </c>
    </row>
    <row r="585" ht="15.75" customHeight="1">
      <c r="A585" s="1" t="s">
        <v>567</v>
      </c>
      <c r="B585" s="2" t="str">
        <f>IFERROR(__xludf.DUMMYFUNCTION("GOOGLETRANSLATE(A585, ""de"", ""uk"")"),"домашня птиця")</f>
        <v>домашня птиця</v>
      </c>
    </row>
    <row r="586" ht="15.75" customHeight="1">
      <c r="A586" s="1" t="s">
        <v>568</v>
      </c>
      <c r="B586" s="2" t="str">
        <f>IFERROR(__xludf.DUMMYFUNCTION("GOOGLETRANSLATE(A586, ""de"", ""uk"")"),"хліб")</f>
        <v>хліб</v>
      </c>
    </row>
    <row r="587" ht="15.75" customHeight="1">
      <c r="A587" s="1" t="s">
        <v>569</v>
      </c>
      <c r="B587" s="2" t="str">
        <f>IFERROR(__xludf.DUMMYFUNCTION("GOOGLETRANSLATE(A587, ""de"", ""uk"")"),"хлібна булочка")</f>
        <v>хлібна булочка</v>
      </c>
    </row>
    <row r="588" ht="15.75" customHeight="1">
      <c r="A588" s="1" t="s">
        <v>570</v>
      </c>
      <c r="B588" s="2" t="str">
        <f>IFERROR(__xludf.DUMMYFUNCTION("GOOGLETRANSLATE(A588, ""de"", ""uk"")"),"торт")</f>
        <v>торт</v>
      </c>
    </row>
    <row r="589" ht="15.75" customHeight="1">
      <c r="A589" s="1" t="s">
        <v>571</v>
      </c>
      <c r="B589" s="2" t="str">
        <f>IFERROR(__xludf.DUMMYFUNCTION("GOOGLETRANSLATE(A589, ""de"", ""uk"")"),"суп")</f>
        <v>суп</v>
      </c>
    </row>
    <row r="590" ht="15.75" customHeight="1">
      <c r="A590" s="1" t="s">
        <v>572</v>
      </c>
      <c r="B590" s="2" t="str">
        <f>IFERROR(__xludf.DUMMYFUNCTION("GOOGLETRANSLATE(A590, ""de"", ""uk"")"),"картопля фрі")</f>
        <v>картопля фрі</v>
      </c>
    </row>
    <row r="591" ht="15.75" customHeight="1">
      <c r="A591" s="1" t="s">
        <v>573</v>
      </c>
      <c r="B591" s="2" t="str">
        <f>IFERROR(__xludf.DUMMYFUNCTION("GOOGLETRANSLATE(A591, ""de"", ""uk"")"),"шоколад")</f>
        <v>шоколад</v>
      </c>
    </row>
    <row r="592" ht="15.75" customHeight="1">
      <c r="A592" s="1" t="s">
        <v>574</v>
      </c>
      <c r="B592" s="2" t="str">
        <f>IFERROR(__xludf.DUMMYFUNCTION("GOOGLETRANSLATE(A592, ""de"", ""uk"")"),"морозиво")</f>
        <v>морозиво</v>
      </c>
    </row>
    <row r="593" ht="15.75" customHeight="1">
      <c r="A593" s="1" t="s">
        <v>575</v>
      </c>
      <c r="B593" s="2" t="str">
        <f>IFERROR(__xludf.DUMMYFUNCTION("GOOGLETRANSLATE(A593, ""de"", ""uk"")"),"мед")</f>
        <v>мед</v>
      </c>
    </row>
    <row r="594" ht="15.75" customHeight="1">
      <c r="A594" s="1" t="s">
        <v>576</v>
      </c>
      <c r="B594" s="2" t="str">
        <f>IFERROR(__xludf.DUMMYFUNCTION("GOOGLETRANSLATE(A594, ""de"", ""uk"")"),"шинка")</f>
        <v>шинка</v>
      </c>
    </row>
    <row r="595" ht="15.75" customHeight="1">
      <c r="A595" s="1" t="s">
        <v>577</v>
      </c>
      <c r="B595" s="2" t="str">
        <f>IFERROR(__xludf.DUMMYFUNCTION("GOOGLETRANSLATE(A595, ""de"", ""uk"")"),"варення")</f>
        <v>варення</v>
      </c>
    </row>
    <row r="596" ht="15.75" customHeight="1">
      <c r="A596" s="1" t="s">
        <v>578</v>
      </c>
      <c r="B596" s="2" t="str">
        <f>IFERROR(__xludf.DUMMYFUNCTION("GOOGLETRANSLATE(A596, ""de"", ""uk"")"),"крем")</f>
        <v>крем</v>
      </c>
    </row>
    <row r="597" ht="15.75" customHeight="1">
      <c r="A597" s="1" t="s">
        <v>579</v>
      </c>
      <c r="B597" s="2" t="str">
        <f>IFERROR(__xludf.DUMMYFUNCTION("GOOGLETRANSLATE(A597, ""de"", ""uk"")"),"соус")</f>
        <v>соус</v>
      </c>
    </row>
    <row r="598" ht="15.75" customHeight="1">
      <c r="A598" s="1" t="s">
        <v>580</v>
      </c>
      <c r="B598" s="2" t="str">
        <f>IFERROR(__xludf.DUMMYFUNCTION("GOOGLETRANSLATE(A598, ""de"", ""uk"")"),"шніцель")</f>
        <v>шніцель</v>
      </c>
    </row>
    <row r="599" ht="15.75" customHeight="1">
      <c r="A599" s="1" t="s">
        <v>581</v>
      </c>
      <c r="B599" s="2" t="str">
        <f>IFERROR(__xludf.DUMMYFUNCTION("GOOGLETRANSLATE(A599, ""de"", ""uk"")"),"їжа")</f>
        <v>їжа</v>
      </c>
    </row>
    <row r="600" ht="15.75" customHeight="1">
      <c r="A600" s="1" t="s">
        <v>582</v>
      </c>
      <c r="B600" s="2" t="str">
        <f>IFERROR(__xludf.DUMMYFUNCTION("GOOGLETRANSLATE(A600, ""de"", ""uk"")"),"напої")</f>
        <v>напої</v>
      </c>
    </row>
    <row r="601" ht="15.75" customHeight="1">
      <c r="A601" s="1" t="s">
        <v>583</v>
      </c>
      <c r="B601" s="2" t="str">
        <f>IFERROR(__xludf.DUMMYFUNCTION("GOOGLETRANSLATE(A601, ""de"", ""uk"")"),"пиво")</f>
        <v>пиво</v>
      </c>
    </row>
    <row r="602" ht="15.75" customHeight="1">
      <c r="A602" s="1" t="s">
        <v>584</v>
      </c>
      <c r="B602" s="2" t="str">
        <f>IFERROR(__xludf.DUMMYFUNCTION("GOOGLETRANSLATE(A602, ""de"", ""uk"")"),"вино")</f>
        <v>вино</v>
      </c>
    </row>
    <row r="603" ht="15.75" customHeight="1">
      <c r="A603" s="1" t="s">
        <v>585</v>
      </c>
      <c r="B603" s="2" t="str">
        <f>IFERROR(__xludf.DUMMYFUNCTION("GOOGLETRANSLATE(A603, ""de"", ""uk"")"),"кава")</f>
        <v>кава</v>
      </c>
    </row>
    <row r="604" ht="15.75" customHeight="1">
      <c r="A604" s="1" t="s">
        <v>586</v>
      </c>
      <c r="B604" s="2" t="str">
        <f>IFERROR(__xludf.DUMMYFUNCTION("GOOGLETRANSLATE(A604, ""de"", ""uk"")"),"чай")</f>
        <v>чай</v>
      </c>
    </row>
    <row r="605" ht="15.75" customHeight="1">
      <c r="A605" s="1" t="s">
        <v>587</v>
      </c>
      <c r="B605" s="2" t="str">
        <f>IFERROR(__xludf.DUMMYFUNCTION("GOOGLETRANSLATE(A605, ""de"", ""uk"")"),"молоко")</f>
        <v>молоко</v>
      </c>
    </row>
    <row r="606" ht="15.75" customHeight="1">
      <c r="A606" s="1" t="s">
        <v>588</v>
      </c>
      <c r="B606" s="2" t="str">
        <f>IFERROR(__xludf.DUMMYFUNCTION("GOOGLETRANSLATE(A606, ""de"", ""uk"")"),"сік")</f>
        <v>сік</v>
      </c>
    </row>
    <row r="607" ht="15.75" customHeight="1">
      <c r="A607" s="1" t="s">
        <v>589</v>
      </c>
      <c r="B607" s="2" t="str">
        <f>IFERROR(__xludf.DUMMYFUNCTION("GOOGLETRANSLATE(A607, ""de"", ""uk"")"),"мінеральна вода")</f>
        <v>мінеральна вода</v>
      </c>
    </row>
    <row r="608" ht="15.75" customHeight="1">
      <c r="A608" s="1" t="s">
        <v>590</v>
      </c>
      <c r="B608" s="2" t="str">
        <f>IFERROR(__xludf.DUMMYFUNCTION("GOOGLETRANSLATE(A608, ""de"", ""uk"")"),"ринок")</f>
        <v>ринок</v>
      </c>
    </row>
    <row r="609" ht="15.75" customHeight="1">
      <c r="A609" s="1" t="s">
        <v>591</v>
      </c>
      <c r="B609" s="2" t="str">
        <f>IFERROR(__xludf.DUMMYFUNCTION("GOOGLETRANSLATE(A609, ""de"", ""uk"")"),"супермаркет")</f>
        <v>супермаркет</v>
      </c>
    </row>
    <row r="610" ht="15.75" customHeight="1">
      <c r="A610" s="1" t="s">
        <v>592</v>
      </c>
      <c r="B610" s="2" t="str">
        <f>IFERROR(__xludf.DUMMYFUNCTION("GOOGLETRANSLATE(A610, ""de"", ""uk"")"),"кіоск")</f>
        <v>кіоск</v>
      </c>
    </row>
    <row r="611" ht="15.75" customHeight="1">
      <c r="A611" s="1" t="s">
        <v>593</v>
      </c>
      <c r="B611" s="2" t="str">
        <f>IFERROR(__xludf.DUMMYFUNCTION("GOOGLETRANSLATE(A611, ""de"", ""uk"")"),"пекарня")</f>
        <v>пекарня</v>
      </c>
    </row>
    <row r="612" ht="15.75" customHeight="1">
      <c r="A612" s="1" t="s">
        <v>594</v>
      </c>
      <c r="B612" s="2" t="str">
        <f>IFERROR(__xludf.DUMMYFUNCTION("GOOGLETRANSLATE(A612, ""de"", ""uk"")"),"м'ясний магазин")</f>
        <v>м'ясний магазин</v>
      </c>
    </row>
    <row r="613" ht="15.75" customHeight="1">
      <c r="A613" s="1" t="s">
        <v>595</v>
      </c>
      <c r="B613" s="2" t="str">
        <f>IFERROR(__xludf.DUMMYFUNCTION("GOOGLETRANSLATE(A613, ""de"", ""uk"")"),"перукар")</f>
        <v>перукар</v>
      </c>
    </row>
    <row r="614" ht="15.75" customHeight="1">
      <c r="A614" s="1" t="s">
        <v>596</v>
      </c>
      <c r="B614" s="2" t="str">
        <f>IFERROR(__xludf.DUMMYFUNCTION("GOOGLETRANSLATE(A614, ""de"", ""uk"")"),"кафе")</f>
        <v>кафе</v>
      </c>
    </row>
    <row r="615" ht="15.75" customHeight="1">
      <c r="A615" s="1" t="s">
        <v>597</v>
      </c>
      <c r="B615" s="2" t="str">
        <f>IFERROR(__xludf.DUMMYFUNCTION("GOOGLETRANSLATE(A615, ""de"", ""uk"")"),"ресторан")</f>
        <v>ресторан</v>
      </c>
    </row>
    <row r="616" ht="15.75" customHeight="1">
      <c r="A616" s="1" t="s">
        <v>598</v>
      </c>
      <c r="B616" s="2" t="str">
        <f>IFERROR(__xludf.DUMMYFUNCTION("GOOGLETRANSLATE(A616, ""de"", ""uk"")"),"бізнес")</f>
        <v>бізнес</v>
      </c>
    </row>
    <row r="617" ht="15.75" customHeight="1">
      <c r="A617" s="1" t="s">
        <v>599</v>
      </c>
      <c r="B617" s="2" t="str">
        <f>IFERROR(__xludf.DUMMYFUNCTION("GOOGLETRANSLATE(A617, ""de"", ""uk"")"),"банкомат")</f>
        <v>банкомат</v>
      </c>
    </row>
    <row r="618" ht="15.75" customHeight="1">
      <c r="A618" s="1" t="s">
        <v>600</v>
      </c>
      <c r="B618" s="2" t="str">
        <f>IFERROR(__xludf.DUMMYFUNCTION("GOOGLETRANSLATE(A618, ""de"", ""uk"")"),"пропозиція")</f>
        <v>пропозиція</v>
      </c>
    </row>
    <row r="619" ht="15.75" customHeight="1">
      <c r="A619" s="1" t="s">
        <v>601</v>
      </c>
      <c r="B619" s="2" t="str">
        <f>IFERROR(__xludf.DUMMYFUNCTION("GOOGLETRANSLATE(A619, ""de"", ""uk"")"),"ціна")</f>
        <v>ціна</v>
      </c>
    </row>
    <row r="620" ht="15.75" customHeight="1">
      <c r="A620" s="1" t="s">
        <v>602</v>
      </c>
      <c r="B620" s="2" t="str">
        <f>IFERROR(__xludf.DUMMYFUNCTION("GOOGLETRANSLATE(A620, ""de"", ""uk"")"),"касовий апарат")</f>
        <v>касовий апарат</v>
      </c>
    </row>
    <row r="621" ht="15.75" customHeight="1">
      <c r="A621" s="1" t="s">
        <v>603</v>
      </c>
      <c r="B621" s="2" t="str">
        <f>IFERROR(__xludf.DUMMYFUNCTION("GOOGLETRANSLATE(A621, ""de"", ""uk"")"),"гаманець")</f>
        <v>гаманець</v>
      </c>
    </row>
    <row r="622" ht="15.75" customHeight="1">
      <c r="A622" s="1" t="s">
        <v>604</v>
      </c>
      <c r="B622" s="2" t="str">
        <f>IFERROR(__xludf.DUMMYFUNCTION("GOOGLETRANSLATE(A622, ""de"", ""uk"")"),"гаманець")</f>
        <v>гаманець</v>
      </c>
    </row>
    <row r="623" ht="15.75" customHeight="1">
      <c r="A623" s="1" t="s">
        <v>605</v>
      </c>
      <c r="B623" s="2" t="str">
        <f>IFERROR(__xludf.DUMMYFUNCTION("GOOGLETRANSLATE(A623, ""de"", ""uk"")"),"рахунок")</f>
        <v>рахунок</v>
      </c>
    </row>
    <row r="624" ht="15.75" customHeight="1">
      <c r="A624" s="1" t="s">
        <v>606</v>
      </c>
      <c r="B624" s="2" t="str">
        <f>IFERROR(__xludf.DUMMYFUNCTION("GOOGLETRANSLATE(A624, ""de"", ""uk"")"),"номер рахунку")</f>
        <v>номер рахунку</v>
      </c>
    </row>
    <row r="625" ht="15.75" customHeight="1">
      <c r="A625" s="1" t="s">
        <v>607</v>
      </c>
      <c r="B625" s="2" t="str">
        <f>IFERROR(__xludf.DUMMYFUNCTION("GOOGLETRANSLATE(A625, ""de"", ""uk"")"),"сортовий номер банку")</f>
        <v>сортовий номер банку</v>
      </c>
    </row>
    <row r="626" ht="15.75" customHeight="1">
      <c r="A626" s="1" t="s">
        <v>608</v>
      </c>
      <c r="B626" s="2" t="str">
        <f>IFERROR(__xludf.DUMMYFUNCTION("GOOGLETRANSLATE(A626, ""de"", ""uk"")"),"кредитна картка")</f>
        <v>кредитна картка</v>
      </c>
    </row>
    <row r="627" ht="15.75" customHeight="1">
      <c r="A627" s="1" t="s">
        <v>609</v>
      </c>
      <c r="B627" s="2" t="str">
        <f>IFERROR(__xludf.DUMMYFUNCTION("GOOGLETRANSLATE(A627, ""de"", ""uk"")"),"гроші")</f>
        <v>гроші</v>
      </c>
    </row>
    <row r="628" ht="15.75" customHeight="1">
      <c r="A628" s="1" t="s">
        <v>610</v>
      </c>
      <c r="B628" s="2" t="str">
        <f>IFERROR(__xludf.DUMMYFUNCTION("GOOGLETRANSLATE(A628, ""de"", ""uk"")"),"євро")</f>
        <v>євро</v>
      </c>
    </row>
    <row r="629" ht="15.75" customHeight="1">
      <c r="A629" s="1" t="s">
        <v>611</v>
      </c>
      <c r="B629" s="2" t="str">
        <f>IFERROR(__xludf.DUMMYFUNCTION("GOOGLETRANSLATE(A629, ""de"", ""uk"")"),"цент")</f>
        <v>цент</v>
      </c>
    </row>
    <row r="630" ht="15.75" customHeight="1">
      <c r="A630" s="1" t="s">
        <v>612</v>
      </c>
      <c r="B630" s="2" t="str">
        <f>IFERROR(__xludf.DUMMYFUNCTION("GOOGLETRANSLATE(A630, ""de"", ""uk"")"),"банку")</f>
        <v>банку</v>
      </c>
    </row>
    <row r="631" ht="15.75" customHeight="1">
      <c r="A631" s="1" t="s">
        <v>613</v>
      </c>
      <c r="B631" s="2" t="str">
        <f>IFERROR(__xludf.DUMMYFUNCTION("GOOGLETRANSLATE(A631, ""de"", ""uk"")"),"плід")</f>
        <v>плід</v>
      </c>
    </row>
    <row r="632" ht="15.75" customHeight="1">
      <c r="A632" s="1" t="s">
        <v>614</v>
      </c>
      <c r="B632" s="2" t="str">
        <f>IFERROR(__xludf.DUMMYFUNCTION("GOOGLETRANSLATE(A632, ""de"", ""uk"")"),"яблуко")</f>
        <v>яблуко</v>
      </c>
    </row>
    <row r="633" ht="15.75" customHeight="1">
      <c r="A633" s="1" t="s">
        <v>615</v>
      </c>
      <c r="B633" s="2" t="str">
        <f>IFERROR(__xludf.DUMMYFUNCTION("GOOGLETRANSLATE(A633, ""de"", ""uk"")"),"груша")</f>
        <v>груша</v>
      </c>
    </row>
    <row r="634" ht="15.75" customHeight="1">
      <c r="A634" s="1" t="s">
        <v>616</v>
      </c>
      <c r="B634" s="2" t="str">
        <f>IFERROR(__xludf.DUMMYFUNCTION("GOOGLETRANSLATE(A634, ""de"", ""uk"")"),"апельсин")</f>
        <v>апельсин</v>
      </c>
    </row>
    <row r="635" ht="15.75" customHeight="1">
      <c r="A635" s="1" t="s">
        <v>617</v>
      </c>
      <c r="B635" s="2" t="str">
        <f>IFERROR(__xludf.DUMMYFUNCTION("GOOGLETRANSLATE(A635, ""de"", ""uk"")"),"виноград")</f>
        <v>виноград</v>
      </c>
    </row>
    <row r="636" ht="15.75" customHeight="1">
      <c r="A636" s="1" t="s">
        <v>618</v>
      </c>
      <c r="B636" s="2" t="str">
        <f>IFERROR(__xludf.DUMMYFUNCTION("GOOGLETRANSLATE(A636, ""de"", ""uk"")"),"банан")</f>
        <v>банан</v>
      </c>
    </row>
    <row r="637" ht="15.75" customHeight="1">
      <c r="A637" s="1" t="s">
        <v>619</v>
      </c>
      <c r="B637" s="2" t="str">
        <f>IFERROR(__xludf.DUMMYFUNCTION("GOOGLETRANSLATE(A637, ""de"", ""uk"")"),"лимон")</f>
        <v>лимон</v>
      </c>
    </row>
    <row r="638" ht="15.75" customHeight="1">
      <c r="A638" s="1" t="s">
        <v>620</v>
      </c>
      <c r="B638" s="2" t="str">
        <f>IFERROR(__xludf.DUMMYFUNCTION("GOOGLETRANSLATE(A638, ""de"", ""uk"")"),"ананас")</f>
        <v>ананас</v>
      </c>
    </row>
    <row r="639" ht="15.75" customHeight="1">
      <c r="A639" s="1" t="s">
        <v>621</v>
      </c>
      <c r="B639" s="2" t="str">
        <f>IFERROR(__xludf.DUMMYFUNCTION("GOOGLETRANSLATE(A639, ""de"", ""uk"")"),"вишня")</f>
        <v>вишня</v>
      </c>
    </row>
    <row r="640" ht="15.75" customHeight="1">
      <c r="A640" s="1" t="s">
        <v>622</v>
      </c>
      <c r="B640" s="2" t="str">
        <f>IFERROR(__xludf.DUMMYFUNCTION("GOOGLETRANSLATE(A640, ""de"", ""uk"")"),"слива")</f>
        <v>слива</v>
      </c>
    </row>
    <row r="641" ht="15.75" customHeight="1">
      <c r="A641" s="1" t="s">
        <v>623</v>
      </c>
      <c r="B641" s="2" t="str">
        <f>IFERROR(__xludf.DUMMYFUNCTION("GOOGLETRANSLATE(A641, ""de"", ""uk"")"),"абрикос")</f>
        <v>абрикос</v>
      </c>
    </row>
    <row r="642" ht="15.75" customHeight="1">
      <c r="A642" s="1" t="s">
        <v>624</v>
      </c>
      <c r="B642" s="2" t="str">
        <f>IFERROR(__xludf.DUMMYFUNCTION("GOOGLETRANSLATE(A642, ""de"", ""uk"")"),"полуниця")</f>
        <v>полуниця</v>
      </c>
    </row>
    <row r="643" ht="15.75" customHeight="1">
      <c r="A643" s="1" t="s">
        <v>625</v>
      </c>
      <c r="B643" s="2" t="str">
        <f>IFERROR(__xludf.DUMMYFUNCTION("GOOGLETRANSLATE(A643, ""de"", ""uk"")"),"малина")</f>
        <v>малина</v>
      </c>
    </row>
    <row r="644" ht="15.75" customHeight="1">
      <c r="A644" s="1" t="s">
        <v>626</v>
      </c>
      <c r="B644" s="2" t="str">
        <f>IFERROR(__xludf.DUMMYFUNCTION("GOOGLETRANSLATE(A644, ""de"", ""uk"")"),"ожина")</f>
        <v>ожина</v>
      </c>
    </row>
    <row r="645" ht="15.75" customHeight="1">
      <c r="A645" s="1" t="s">
        <v>627</v>
      </c>
      <c r="B645" s="2" t="str">
        <f>IFERROR(__xludf.DUMMYFUNCTION("GOOGLETRANSLATE(A645, ""de"", ""uk"")"),"овоч")</f>
        <v>овоч</v>
      </c>
    </row>
    <row r="646" ht="15.75" customHeight="1">
      <c r="A646" s="1" t="s">
        <v>628</v>
      </c>
      <c r="B646" s="2" t="str">
        <f>IFERROR(__xludf.DUMMYFUNCTION("GOOGLETRANSLATE(A646, ""de"", ""uk"")"),"баклажани")</f>
        <v>баклажани</v>
      </c>
    </row>
    <row r="647" ht="15.75" customHeight="1">
      <c r="A647" s="1" t="s">
        <v>629</v>
      </c>
      <c r="B647" s="2" t="str">
        <f>IFERROR(__xludf.DUMMYFUNCTION("GOOGLETRANSLATE(A647, ""de"", ""uk"")"),"перець")</f>
        <v>перець</v>
      </c>
    </row>
    <row r="648" ht="15.75" customHeight="1">
      <c r="A648" s="1" t="s">
        <v>630</v>
      </c>
      <c r="B648" s="2" t="str">
        <f>IFERROR(__xludf.DUMMYFUNCTION("GOOGLETRANSLATE(A648, ""de"", ""uk"")"),"шпинат")</f>
        <v>шпинат</v>
      </c>
    </row>
    <row r="649" ht="15.75" customHeight="1">
      <c r="A649" s="1" t="s">
        <v>631</v>
      </c>
      <c r="B649" s="2" t="str">
        <f>IFERROR(__xludf.DUMMYFUNCTION("GOOGLETRANSLATE(A649, ""de"", ""uk"")"),"квасоля")</f>
        <v>квасоля</v>
      </c>
    </row>
    <row r="650" ht="15.75" customHeight="1">
      <c r="A650" s="1" t="s">
        <v>632</v>
      </c>
      <c r="B650" s="2" t="str">
        <f>IFERROR(__xludf.DUMMYFUNCTION("GOOGLETRANSLATE(A650, ""de"", ""uk"")"),"горох")</f>
        <v>горох</v>
      </c>
    </row>
    <row r="651" ht="15.75" customHeight="1">
      <c r="A651" s="1" t="s">
        <v>633</v>
      </c>
      <c r="B651" s="2" t="str">
        <f>IFERROR(__xludf.DUMMYFUNCTION("GOOGLETRANSLATE(A651, ""de"", ""uk"")"),"морква")</f>
        <v>морква</v>
      </c>
    </row>
    <row r="652" ht="15.75" customHeight="1">
      <c r="A652" s="1" t="s">
        <v>634</v>
      </c>
      <c r="B652" s="2" t="str">
        <f>IFERROR(__xludf.DUMMYFUNCTION("GOOGLETRANSLATE(A652, ""de"", ""uk"")"),"кукурудза")</f>
        <v>кукурудза</v>
      </c>
    </row>
    <row r="653" ht="15.75" customHeight="1">
      <c r="A653" s="1" t="s">
        <v>635</v>
      </c>
      <c r="B653" s="2" t="str">
        <f>IFERROR(__xludf.DUMMYFUNCTION("GOOGLETRANSLATE(A653, ""de"", ""uk"")"),"картопля")</f>
        <v>картопля</v>
      </c>
    </row>
    <row r="654" ht="15.75" customHeight="1">
      <c r="A654" s="1" t="s">
        <v>636</v>
      </c>
      <c r="B654" s="2" t="str">
        <f>IFERROR(__xludf.DUMMYFUNCTION("GOOGLETRANSLATE(A654, ""de"", ""uk"")"),"помідор")</f>
        <v>помідор</v>
      </c>
    </row>
    <row r="655" ht="15.75" customHeight="1">
      <c r="A655" s="1" t="s">
        <v>637</v>
      </c>
      <c r="B655" s="2" t="str">
        <f>IFERROR(__xludf.DUMMYFUNCTION("GOOGLETRANSLATE(A655, ""de"", ""uk"")"),"огірок")</f>
        <v>огірок</v>
      </c>
    </row>
    <row r="656" ht="15.75" customHeight="1">
      <c r="A656" s="1" t="s">
        <v>638</v>
      </c>
      <c r="B656" s="2" t="str">
        <f>IFERROR(__xludf.DUMMYFUNCTION("GOOGLETRANSLATE(A656, ""de"", ""uk"")"),"цибуля")</f>
        <v>цибуля</v>
      </c>
    </row>
    <row r="657" ht="15.75" customHeight="1">
      <c r="A657" s="1" t="s">
        <v>639</v>
      </c>
      <c r="B657" s="2" t="str">
        <f>IFERROR(__xludf.DUMMYFUNCTION("GOOGLETRANSLATE(A657, ""de"", ""uk"")"),"цукіні")</f>
        <v>цукіні</v>
      </c>
    </row>
    <row r="658" ht="15.75" customHeight="1">
      <c r="A658" s="1" t="s">
        <v>640</v>
      </c>
      <c r="B658" s="2" t="str">
        <f>IFERROR(__xludf.DUMMYFUNCTION("GOOGLETRANSLATE(A658, ""de"", ""uk"")"),"гриб")</f>
        <v>гриб</v>
      </c>
    </row>
    <row r="659" ht="15.75" customHeight="1">
      <c r="A659" s="1" t="s">
        <v>641</v>
      </c>
      <c r="B659" s="2" t="str">
        <f>IFERROR(__xludf.DUMMYFUNCTION("GOOGLETRANSLATE(A659, ""de"", ""uk"")"),"горіх")</f>
        <v>горіх</v>
      </c>
    </row>
    <row r="660" ht="15.75" customHeight="1">
      <c r="A660" s="1" t="s">
        <v>642</v>
      </c>
      <c r="B660" s="2" t="str">
        <f>IFERROR(__xludf.DUMMYFUNCTION("GOOGLETRANSLATE(A660, ""de"", ""uk"")"),"салат")</f>
        <v>салат</v>
      </c>
    </row>
    <row r="661" ht="15.75" customHeight="1">
      <c r="A661" s="1" t="s">
        <v>643</v>
      </c>
      <c r="B661" s="2" t="str">
        <f>IFERROR(__xludf.DUMMYFUNCTION("GOOGLETRANSLATE(A661, ""de"", ""uk"")"),"із задоволенням")</f>
        <v>із задоволенням</v>
      </c>
    </row>
    <row r="662" ht="15.75" customHeight="1">
      <c r="A662" s="1" t="s">
        <v>644</v>
      </c>
      <c r="B662" s="2" t="str">
        <f>IFERROR(__xludf.DUMMYFUNCTION("GOOGLETRANSLATE(A662, ""de"", ""uk"")"),"більшість")</f>
        <v>більшість</v>
      </c>
    </row>
    <row r="663" ht="15.75" customHeight="1">
      <c r="A663" s="1" t="s">
        <v>645</v>
      </c>
      <c r="B663" s="2" t="str">
        <f>IFERROR(__xludf.DUMMYFUNCTION("GOOGLETRANSLATE(A663, ""de"", ""uk"")"),"природно")</f>
        <v>природно</v>
      </c>
    </row>
    <row r="664" ht="15.75" customHeight="1">
      <c r="A664" s="1" t="s">
        <v>646</v>
      </c>
      <c r="B664" s="2" t="str">
        <f>IFERROR(__xludf.DUMMYFUNCTION("GOOGLETRANSLATE(A664, ""de"", ""uk"")"),"ні")</f>
        <v>ні</v>
      </c>
    </row>
    <row r="665" ht="15.75" customHeight="1">
      <c r="A665" s="1" t="s">
        <v>647</v>
      </c>
      <c r="B665" s="2" t="str">
        <f>IFERROR(__xludf.DUMMYFUNCTION("GOOGLETRANSLATE(A665, ""de"", ""uk"")"),"досі")</f>
        <v>досі</v>
      </c>
    </row>
    <row r="666" ht="15.75" customHeight="1">
      <c r="A666" s="1" t="s">
        <v>648</v>
      </c>
      <c r="B666" s="2" t="str">
        <f>IFERROR(__xludf.DUMMYFUNCTION("GOOGLETRANSLATE(A666, ""de"", ""uk"")"),"тільки")</f>
        <v>тільки</v>
      </c>
    </row>
    <row r="667" ht="15.75" customHeight="1">
      <c r="A667" s="1" t="s">
        <v>649</v>
      </c>
      <c r="B667" s="2" t="str">
        <f>IFERROR(__xludf.DUMMYFUNCTION("GOOGLETRANSLATE(A667, ""de"", ""uk"")"),"до")</f>
        <v>до</v>
      </c>
    </row>
    <row r="668" ht="15.75" customHeight="1">
      <c r="A668" s="1" t="s">
        <v>650</v>
      </c>
      <c r="B668" s="2" t="str">
        <f>IFERROR(__xludf.DUMMYFUNCTION("GOOGLETRANSLATE(A668, ""de"", ""uk"")"),"на")</f>
        <v>на</v>
      </c>
    </row>
    <row r="669" ht="15.75" customHeight="1">
      <c r="A669" s="1" t="s">
        <v>651</v>
      </c>
      <c r="B669" s="2" t="str">
        <f>IFERROR(__xludf.DUMMYFUNCTION("GOOGLETRANSLATE(A669, ""de"", ""uk"")"),"з")</f>
        <v>з</v>
      </c>
    </row>
    <row r="670" ht="15.75" customHeight="1">
      <c r="A670" s="1" t="s">
        <v>652</v>
      </c>
      <c r="B670" s="2" t="str">
        <f>IFERROR(__xludf.DUMMYFUNCTION("GOOGLETRANSLATE(A670, ""de"", ""uk"")"),"геть")</f>
        <v>геть</v>
      </c>
    </row>
    <row r="671" ht="15.75" customHeight="1">
      <c r="A671" s="1" t="s">
        <v>653</v>
      </c>
      <c r="B671" s="2" t="str">
        <f>IFERROR(__xludf.DUMMYFUNCTION("GOOGLETRANSLATE(A671, ""de"", ""uk"")"),"але")</f>
        <v>але</v>
      </c>
    </row>
    <row r="672" ht="15.75" customHeight="1">
      <c r="A672" s="1" t="s">
        <v>654</v>
      </c>
      <c r="B672" s="2" t="str">
        <f>IFERROR(__xludf.DUMMYFUNCTION("GOOGLETRANSLATE(A672, ""de"", ""uk"")"),"там")</f>
        <v>там</v>
      </c>
    </row>
    <row r="673" ht="15.75" customHeight="1">
      <c r="A673" s="1" t="s">
        <v>655</v>
      </c>
      <c r="B673" s="2" t="str">
        <f>IFERROR(__xludf.DUMMYFUNCTION("GOOGLETRANSLATE(A673, ""de"", ""uk"")"),"але")</f>
        <v>але</v>
      </c>
    </row>
    <row r="674" ht="15.75" customHeight="1">
      <c r="A674" s="1" t="s">
        <v>656</v>
      </c>
      <c r="B674" s="2" t="str">
        <f>IFERROR(__xludf.DUMMYFUNCTION("GOOGLETRANSLATE(A674, ""de"", ""uk"")"),"не має значення")</f>
        <v>не має значення</v>
      </c>
    </row>
    <row r="675" ht="15.75" customHeight="1">
      <c r="A675" s="1" t="s">
        <v>657</v>
      </c>
      <c r="B675" s="2" t="str">
        <f>IFERROR(__xludf.DUMMYFUNCTION("GOOGLETRANSLATE(A675, ""de"", ""uk"")"),"включені")</f>
        <v>включені</v>
      </c>
    </row>
    <row r="676" ht="15.75" customHeight="1">
      <c r="A676" s="1" t="s">
        <v>658</v>
      </c>
      <c r="B676" s="2" t="str">
        <f>IFERROR(__xludf.DUMMYFUNCTION("GOOGLETRANSLATE(A676, ""de"", ""uk"")"),"набридло")</f>
        <v>набридло</v>
      </c>
    </row>
    <row r="677" ht="15.75" customHeight="1">
      <c r="A677" s="1" t="s">
        <v>659</v>
      </c>
      <c r="B677" s="2" t="str">
        <f>IFERROR(__xludf.DUMMYFUNCTION("GOOGLETRANSLATE(A677, ""de"", ""uk"")"),"кислий")</f>
        <v>кислий</v>
      </c>
    </row>
    <row r="678" ht="15.75" customHeight="1">
      <c r="A678" s="1" t="s">
        <v>660</v>
      </c>
      <c r="B678" s="2" t="str">
        <f>IFERROR(__xludf.DUMMYFUNCTION("GOOGLETRANSLATE(A678, ""de"", ""uk"")"),"солодкий")</f>
        <v>солодкий</v>
      </c>
    </row>
    <row r="679" ht="15.75" customHeight="1">
      <c r="A679" s="1" t="s">
        <v>661</v>
      </c>
      <c r="B679" s="2" t="str">
        <f>IFERROR(__xludf.DUMMYFUNCTION("GOOGLETRANSLATE(A679, ""de"", ""uk"")"),"різкий")</f>
        <v>різкий</v>
      </c>
    </row>
    <row r="680" ht="15.75" customHeight="1">
      <c r="A680" s="1" t="s">
        <v>662</v>
      </c>
      <c r="B680" s="2" t="str">
        <f>IFERROR(__xludf.DUMMYFUNCTION("GOOGLETRANSLATE(A680, ""de"", ""uk"")"),"солоний")</f>
        <v>солоний</v>
      </c>
    </row>
    <row r="681" ht="15.75" customHeight="1">
      <c r="A681" s="1" t="s">
        <v>663</v>
      </c>
      <c r="B681" s="2" t="str">
        <f>IFERROR(__xludf.DUMMYFUNCTION("GOOGLETRANSLATE(A681, ""de"", ""uk"")"),"дешевий")</f>
        <v>дешевий</v>
      </c>
    </row>
    <row r="682" ht="15.75" customHeight="1">
      <c r="A682" s="1" t="s">
        <v>664</v>
      </c>
      <c r="B682" s="2" t="str">
        <f>IFERROR(__xludf.DUMMYFUNCTION("GOOGLETRANSLATE(A682, ""de"", ""uk"")"),"дорогий")</f>
        <v>дорогий</v>
      </c>
    </row>
    <row r="683" ht="15.75" customHeight="1">
      <c r="A683" s="1" t="s">
        <v>665</v>
      </c>
      <c r="B683" s="2" t="str">
        <f>IFERROR(__xludf.DUMMYFUNCTION("GOOGLETRANSLATE(A683, ""de"", ""uk"")"),"ведмідь")</f>
        <v>ведмідь</v>
      </c>
    </row>
    <row r="684" ht="15.75" customHeight="1">
      <c r="A684" s="1" t="s">
        <v>666</v>
      </c>
      <c r="B684" s="2" t="str">
        <f>IFERROR(__xludf.DUMMYFUNCTION("GOOGLETRANSLATE(A684, ""de"", ""uk"")"),"дешевий")</f>
        <v>дешевий</v>
      </c>
    </row>
    <row r="685" ht="15.75" customHeight="1">
      <c r="A685" s="1" t="s">
        <v>667</v>
      </c>
      <c r="B685" s="2" t="str">
        <f>IFERROR(__xludf.DUMMYFUNCTION("GOOGLETRANSLATE(A685, ""de"", ""uk"")"),"свіжий")</f>
        <v>свіжий</v>
      </c>
    </row>
    <row r="686" ht="15.75" customHeight="1">
      <c r="A686" s="1" t="s">
        <v>668</v>
      </c>
      <c r="B686" s="2" t="str">
        <f>IFERROR(__xludf.DUMMYFUNCTION("GOOGLETRANSLATE(A686, ""de"", ""uk"")"),"Діти не їдять овочів.")</f>
        <v>Діти не їдять овочів.</v>
      </c>
    </row>
    <row r="687" ht="15.75" customHeight="1">
      <c r="A687" s="1" t="s">
        <v>669</v>
      </c>
      <c r="B687" s="2" t="str">
        <f>IFERROR(__xludf.DUMMYFUNCTION("GOOGLETRANSLATE(A687, ""de"", ""uk"")"),"Жінка пече пиріг.")</f>
        <v>Жінка пече пиріг.</v>
      </c>
    </row>
    <row r="688" ht="15.75" customHeight="1">
      <c r="A688" s="1" t="s">
        <v>670</v>
      </c>
      <c r="B688" s="2" t="str">
        <f>IFERROR(__xludf.DUMMYFUNCTION("GOOGLETRANSLATE(A688, ""de"", ""uk"")"),"Чоловік п'є пиво з пляшки.")</f>
        <v>Чоловік п'є пиво з пляшки.</v>
      </c>
    </row>
    <row r="689" ht="15.75" customHeight="1">
      <c r="A689" s="1" t="s">
        <v>671</v>
      </c>
      <c r="B689" s="2" t="str">
        <f>IFERROR(__xludf.DUMMYFUNCTION("GOOGLETRANSLATE(A689, ""de"", ""uk"")"),"Він завжди снідає вранці.")</f>
        <v>Він завжди снідає вранці.</v>
      </c>
    </row>
    <row r="690" ht="15.75" customHeight="1">
      <c r="A690" s="1" t="s">
        <v>672</v>
      </c>
      <c r="B690" s="2" t="str">
        <f>IFERROR(__xludf.DUMMYFUNCTION("GOOGLETRANSLATE(A690, ""de"", ""uk"")"),"Вона готує для дітей.")</f>
        <v>Вона готує для дітей.</v>
      </c>
    </row>
    <row r="691" ht="15.75" customHeight="1">
      <c r="A691" s="1" t="s">
        <v>673</v>
      </c>
      <c r="B691" s="2" t="str">
        <f>IFERROR(__xludf.DUMMYFUNCTION("GOOGLETRANSLATE(A691, ""de"", ""uk"")"),"Ви замовляєте чай в кафе.")</f>
        <v>Ви замовляєте чай в кафе.</v>
      </c>
    </row>
    <row r="692" ht="15.75" customHeight="1">
      <c r="A692" s="1" t="s">
        <v>674</v>
      </c>
      <c r="B692" s="2" t="str">
        <f>IFERROR(__xludf.DUMMYFUNCTION("GOOGLETRANSLATE(A692, ""de"", ""uk"")"),"Дитина купує солодощі в супермаркеті.")</f>
        <v>Дитина купує солодощі в супермаркеті.</v>
      </c>
    </row>
    <row r="693" ht="15.75" customHeight="1">
      <c r="A693" s="1" t="s">
        <v>675</v>
      </c>
      <c r="B693" s="2" t="str">
        <f>IFERROR(__xludf.DUMMYFUNCTION("GOOGLETRANSLATE(A693, ""de"", ""uk"")"),"Два кілограми перцю коштують шість євро.")</f>
        <v>Два кілограми перцю коштують шість євро.</v>
      </c>
    </row>
    <row r="694" ht="15.75" customHeight="1">
      <c r="A694" s="1" t="s">
        <v>676</v>
      </c>
      <c r="B694" s="2" t="str">
        <f>IFERROR(__xludf.DUMMYFUNCTION("GOOGLETRANSLATE(A694, ""de"", ""uk"")"),"М'ясний магазин продає м'ясо.")</f>
        <v>М'ясний магазин продає м'ясо.</v>
      </c>
    </row>
    <row r="695" ht="15.75" customHeight="1">
      <c r="A695" s="1" t="s">
        <v>677</v>
      </c>
      <c r="B695" s="2" t="str">
        <f>IFERROR(__xludf.DUMMYFUNCTION("GOOGLETRANSLATE(A695, ""de"", ""uk"")"),"На вечерю купує цибулю.")</f>
        <v>На вечерю купує цибулю.</v>
      </c>
    </row>
    <row r="696" ht="15.75" customHeight="1">
      <c r="A696" s="1" t="s">
        <v>678</v>
      </c>
      <c r="B696" s="2" t="str">
        <f>IFERROR(__xludf.DUMMYFUNCTION("GOOGLETRANSLATE(A696, ""de"", ""uk"")"),"Я плачу готівкою.")</f>
        <v>Я плачу готівкою.</v>
      </c>
    </row>
    <row r="697" ht="15.75" customHeight="1">
      <c r="A697" s="1" t="s">
        <v>679</v>
      </c>
      <c r="B697" s="2" t="str">
        <f>IFERROR(__xludf.DUMMYFUNCTION("GOOGLETRANSLATE(A697, ""de"", ""uk"")"),"Пекар пропонує булочки по 30 центів.")</f>
        <v>Пекар пропонує булочки по 30 центів.</v>
      </c>
    </row>
    <row r="698" ht="15.75" customHeight="1">
      <c r="A698" s="1" t="s">
        <v>680</v>
      </c>
      <c r="B698" s="2" t="str">
        <f>IFERROR(__xludf.DUMMYFUNCTION("GOOGLETRANSLATE(A698, ""de"", ""uk"")"),"Прошу в неї сумку.")</f>
        <v>Прошу в неї сумку.</v>
      </c>
    </row>
    <row r="699" ht="15.75" customHeight="1">
      <c r="A699" s="1" t="s">
        <v>681</v>
      </c>
      <c r="B699" s="2" t="str">
        <f>IFERROR(__xludf.DUMMYFUNCTION("GOOGLETRANSLATE(A699, ""de"", ""uk"")"),"Дайте, будь ласка, кілограм помідорів.")</f>
        <v>Дайте, будь ласка, кілограм помідорів.</v>
      </c>
    </row>
    <row r="700" ht="15.75" customHeight="1">
      <c r="A700" s="1" t="s">
        <v>682</v>
      </c>
      <c r="B700" s="2" t="str">
        <f>IFERROR(__xludf.DUMMYFUNCTION("GOOGLETRANSLATE(A700, ""de"", ""uk"")"),"Я візьму огірок, будь ласка.")</f>
        <v>Я візьму огірок, будь ласка.</v>
      </c>
    </row>
    <row r="701" ht="15.75" customHeight="1">
      <c r="A701" s="1" t="s">
        <v>683</v>
      </c>
      <c r="B701" s="2" t="str">
        <f>IFERROR(__xludf.DUMMYFUNCTION("GOOGLETRANSLATE(A701, ""de"", ""uk"")"),"Супермаркет зачиняється о восьмій.")</f>
        <v>Супермаркет зачиняється о восьмій.</v>
      </c>
    </row>
    <row r="702" ht="15.75" customHeight="1">
      <c r="A702" s="1" t="s">
        <v>684</v>
      </c>
      <c r="B702" s="2" t="str">
        <f>IFERROR(__xludf.DUMMYFUNCTION("GOOGLETRANSLATE(A702, ""de"", ""uk"")"),"Магазин відкривається о восьмій ранку.")</f>
        <v>Магазин відкривається о восьмій ранку.</v>
      </c>
    </row>
    <row r="703" ht="15.75" customHeight="1">
      <c r="A703" s="1" t="s">
        <v>685</v>
      </c>
      <c r="B703" s="2" t="str">
        <f>IFERROR(__xludf.DUMMYFUNCTION("GOOGLETRANSLATE(A703, ""de"", ""uk"")"),"Чи можу я отримати десять євро, будь ласка.")</f>
        <v>Чи можу я отримати десять євро, будь ласка.</v>
      </c>
    </row>
    <row r="704" ht="15.75" customHeight="1">
      <c r="A704" s="1" t="s">
        <v>686</v>
      </c>
      <c r="B704" s="2" t="str">
        <f>IFERROR(__xludf.DUMMYFUNCTION("GOOGLETRANSLATE(A704, ""de"", ""uk"")"),"Будь ласка, я не хочу цукру в своїй каві.")</f>
        <v>Будь ласка, я не хочу цукру в своїй каві.</v>
      </c>
    </row>
    <row r="705" ht="15.75" customHeight="1">
      <c r="A705" s="1" t="s">
        <v>687</v>
      </c>
      <c r="B705" s="2" t="str">
        <f>IFERROR(__xludf.DUMMYFUNCTION("GOOGLETRANSLATE(A705, ""de"", ""uk"")"),"Опишіть ресторан.")</f>
        <v>Опишіть ресторан.</v>
      </c>
    </row>
    <row r="706" ht="15.75" customHeight="1">
      <c r="A706" s="1" t="s">
        <v>688</v>
      </c>
      <c r="B706" s="2" t="str">
        <f>IFERROR(__xludf.DUMMYFUNCTION("GOOGLETRANSLATE(A706, ""de"", ""uk"")"),"Картопля гниє.")</f>
        <v>Картопля гниє.</v>
      </c>
    </row>
    <row r="707" ht="15.75" customHeight="1">
      <c r="A707" s="1" t="s">
        <v>689</v>
      </c>
      <c r="B707" s="2" t="str">
        <f>IFERROR(__xludf.DUMMYFUNCTION("GOOGLETRANSLATE(A707, ""de"", ""uk"")"),"Клієнт оплачує на касі.")</f>
        <v>Клієнт оплачує на касі.</v>
      </c>
    </row>
    <row r="708" ht="15.75" customHeight="1">
      <c r="A708" s="1" t="s">
        <v>690</v>
      </c>
      <c r="B708" s="2" t="str">
        <f>IFERROR(__xludf.DUMMYFUNCTION("GOOGLETRANSLATE(A708, ""de"", ""uk"")"),"Можна мені ще кави, будь ласка?")</f>
        <v>Можна мені ще кави, будь ласка?</v>
      </c>
    </row>
    <row r="709" ht="15.75" customHeight="1">
      <c r="A709" s="1" t="s">
        <v>691</v>
      </c>
      <c r="B709" s="2" t="str">
        <f>IFERROR(__xludf.DUMMYFUNCTION("GOOGLETRANSLATE(A709, ""de"", ""uk"")"),"Досить трохи солі.")</f>
        <v>Досить трохи солі.</v>
      </c>
    </row>
    <row r="710" ht="15.75" customHeight="1">
      <c r="A710" s="1" t="s">
        <v>692</v>
      </c>
      <c r="B710" s="2" t="str">
        <f>IFERROR(__xludf.DUMMYFUNCTION("GOOGLETRANSLATE(A710, ""de"", ""uk"")"),"Будь ласка, розріжте піцу на вісім частин.")</f>
        <v>Будь ласка, розріжте піцу на вісім частин.</v>
      </c>
    </row>
    <row r="711" ht="15.75" customHeight="1">
      <c r="A711" s="1" t="s">
        <v>693</v>
      </c>
      <c r="B711" s="2" t="str">
        <f>IFERROR(__xludf.DUMMYFUNCTION("GOOGLETRANSLATE(A711, ""de"", ""uk"")"),"Будь ласка, виберіть.")</f>
        <v>Будь ласка, виберіть.</v>
      </c>
    </row>
    <row r="712" ht="15.75" customHeight="1">
      <c r="A712" s="1" t="s">
        <v>694</v>
      </c>
      <c r="B712" s="2" t="str">
        <f>IFERROR(__xludf.DUMMYFUNCTION("GOOGLETRANSLATE(A712, ""de"", ""uk"")"),"Хочеш ще цукру?")</f>
        <v>Хочеш ще цукру?</v>
      </c>
    </row>
    <row r="713" ht="15.75" customHeight="1">
      <c r="A713" s="1" t="s">
        <v>695</v>
      </c>
      <c r="B713" s="2" t="str">
        <f>IFERROR(__xludf.DUMMYFUNCTION("GOOGLETRANSLATE(A713, ""de"", ""uk"")"),"У вас є сумка з собою?")</f>
        <v>У вас є сумка з собою?</v>
      </c>
    </row>
    <row r="714" ht="15.75" customHeight="1">
      <c r="A714" s="1" t="s">
        <v>696</v>
      </c>
      <c r="B714" s="2" t="str">
        <f>IFERROR(__xludf.DUMMYFUNCTION("GOOGLETRANSLATE(A714, ""de"", ""uk"")"),"Супермаркет уже закритий.")</f>
        <v>Супермаркет уже закритий.</v>
      </c>
    </row>
    <row r="715" ht="15.75" customHeight="1">
      <c r="A715" s="1" t="s">
        <v>697</v>
      </c>
      <c r="B715" s="2" t="str">
        <f>IFERROR(__xludf.DUMMYFUNCTION("GOOGLETRANSLATE(A715, ""de"", ""uk"")"),"Дитина любить солодке.")</f>
        <v>Дитина любить солодке.</v>
      </c>
    </row>
    <row r="716" ht="15.75" customHeight="1">
      <c r="A716" s="1" t="s">
        <v>698</v>
      </c>
      <c r="B716" s="2" t="str">
        <f>IFERROR(__xludf.DUMMYFUNCTION("GOOGLETRANSLATE(A716, ""de"", ""uk"")"),"Фрукти корисні для дітей.")</f>
        <v>Фрукти корисні для дітей.</v>
      </c>
    </row>
    <row r="717" ht="15.75" customHeight="1">
      <c r="A717" s="1" t="s">
        <v>699</v>
      </c>
      <c r="B717" s="2" t="str">
        <f>IFERROR(__xludf.DUMMYFUNCTION("GOOGLETRANSLATE(A717, ""de"", ""uk"")"),"Жінки їдять яблука.")</f>
        <v>Жінки їдять яблука.</v>
      </c>
    </row>
    <row r="718" ht="15.75" customHeight="1">
      <c r="A718" s="1" t="s">
        <v>700</v>
      </c>
      <c r="B718" s="2" t="str">
        <f>IFERROR(__xludf.DUMMYFUNCTION("GOOGLETRANSLATE(A718, ""de"", ""uk"")"),"Я візьму, будь ласка, дві груші.")</f>
        <v>Я візьму, будь ласка, дві груші.</v>
      </c>
    </row>
    <row r="719" ht="15.75" customHeight="1">
      <c r="A719" s="1" t="s">
        <v>701</v>
      </c>
      <c r="B719" s="2" t="str">
        <f>IFERROR(__xludf.DUMMYFUNCTION("GOOGLETRANSLATE(A719, ""de"", ""uk"")"),"Чи можу я отримати ще один апельсин?")</f>
        <v>Чи можу я отримати ще один апельсин?</v>
      </c>
    </row>
    <row r="720" ht="15.75" customHeight="1">
      <c r="A720" s="1" t="s">
        <v>702</v>
      </c>
      <c r="B720" s="2" t="str">
        <f>IFERROR(__xludf.DUMMYFUNCTION("GOOGLETRANSLATE(A720, ""de"", ""uk"")"),"Вино виготовляється з винограду.")</f>
        <v>Вино виготовляється з винограду.</v>
      </c>
    </row>
    <row r="721" ht="15.75" customHeight="1">
      <c r="A721" s="1" t="s">
        <v>703</v>
      </c>
      <c r="B721" s="2" t="str">
        <f>IFERROR(__xludf.DUMMYFUNCTION("GOOGLETRANSLATE(A721, ""de"", ""uk"")"),"Банан родом не з Німеччини.")</f>
        <v>Банан родом не з Німеччини.</v>
      </c>
    </row>
    <row r="722" ht="15.75" customHeight="1">
      <c r="A722" s="1" t="s">
        <v>704</v>
      </c>
      <c r="B722" s="2" t="str">
        <f>IFERROR(__xludf.DUMMYFUNCTION("GOOGLETRANSLATE(A722, ""de"", ""uk"")"),"Лимон дуже кислий.")</f>
        <v>Лимон дуже кислий.</v>
      </c>
    </row>
    <row r="723" ht="15.75" customHeight="1">
      <c r="A723" s="1" t="s">
        <v>705</v>
      </c>
      <c r="B723" s="2" t="str">
        <f>IFERROR(__xludf.DUMMYFUNCTION("GOOGLETRANSLATE(A723, ""de"", ""uk"")"),"Жінка розрізає ананас на чотири частини.")</f>
        <v>Жінка розрізає ананас на чотири частини.</v>
      </c>
    </row>
    <row r="724" ht="15.75" customHeight="1">
      <c r="A724" s="1" t="s">
        <v>706</v>
      </c>
      <c r="B724" s="2" t="str">
        <f>IFERROR(__xludf.DUMMYFUNCTION("GOOGLETRANSLATE(A724, ""de"", ""uk"")"),"Черешня сьогодні дуже дешева.")</f>
        <v>Черешня сьогодні дуже дешева.</v>
      </c>
    </row>
    <row r="725" ht="15.75" customHeight="1">
      <c r="A725" s="1" t="s">
        <v>707</v>
      </c>
      <c r="B725" s="2" t="str">
        <f>IFERROR(__xludf.DUMMYFUNCTION("GOOGLETRANSLATE(A725, ""de"", ""uk"")"),"У мене в сумці тільки сливи.")</f>
        <v>У мене в сумці тільки сливи.</v>
      </c>
    </row>
    <row r="726" ht="15.75" customHeight="1">
      <c r="A726" s="1" t="s">
        <v>708</v>
      </c>
      <c r="B726" s="2" t="str">
        <f>IFERROR(__xludf.DUMMYFUNCTION("GOOGLETRANSLATE(A726, ""de"", ""uk"")"),"Сьогодні в супермаркеті немає абрикосів.")</f>
        <v>Сьогодні в супермаркеті немає абрикосів.</v>
      </c>
    </row>
    <row r="727" ht="15.75" customHeight="1">
      <c r="A727" s="1" t="s">
        <v>709</v>
      </c>
      <c r="B727" s="2" t="str">
        <f>IFERROR(__xludf.DUMMYFUNCTION("GOOGLETRANSLATE(A727, ""de"", ""uk"")"),"Полуниця свіжа.")</f>
        <v>Полуниця свіжа.</v>
      </c>
    </row>
    <row r="728" ht="15.75" customHeight="1">
      <c r="A728" s="1" t="s">
        <v>710</v>
      </c>
      <c r="B728" s="2" t="str">
        <f>IFERROR(__xludf.DUMMYFUNCTION("GOOGLETRANSLATE(A728, ""de"", ""uk"")"),"Малина дуже солодка.")</f>
        <v>Малина дуже солодка.</v>
      </c>
    </row>
    <row r="729" ht="15.75" customHeight="1">
      <c r="A729" s="1" t="s">
        <v>711</v>
      </c>
      <c r="B729" s="2" t="str">
        <f>IFERROR(__xludf.DUMMYFUNCTION("GOOGLETRANSLATE(A729, ""de"", ""uk"")"),"Ожина кисла.")</f>
        <v>Ожина кисла.</v>
      </c>
    </row>
    <row r="730" ht="15.75" customHeight="1">
      <c r="A730" s="1" t="s">
        <v>712</v>
      </c>
      <c r="B730" s="2" t="str">
        <f>IFERROR(__xludf.DUMMYFUNCTION("GOOGLETRANSLATE(A730, ""de"", ""uk"")"),"Ти все ще голодний.")</f>
        <v>Ти все ще голодний.</v>
      </c>
    </row>
    <row r="731" ht="15.75" customHeight="1">
      <c r="A731" s="1" t="s">
        <v>713</v>
      </c>
      <c r="B731" s="2" t="str">
        <f>IFERROR(__xludf.DUMMYFUNCTION("GOOGLETRANSLATE(A731, ""de"", ""uk"")"),"Хто відчуває спрагу, п’є воду.")</f>
        <v>Хто відчуває спрагу, п’є воду.</v>
      </c>
    </row>
    <row r="732" ht="15.75" customHeight="1">
      <c r="A732" s="1" t="s">
        <v>714</v>
      </c>
      <c r="B732" s="2" t="str">
        <f>IFERROR(__xludf.DUMMYFUNCTION("GOOGLETRANSLATE(A732, ""de"", ""uk"")"),"Сьогодні на сніданок є булочки.")</f>
        <v>Сьогодні на сніданок є булочки.</v>
      </c>
    </row>
    <row r="733" ht="15.75" customHeight="1">
      <c r="A733" s="1" t="s">
        <v>715</v>
      </c>
      <c r="B733" s="2" t="str">
        <f>IFERROR(__xludf.DUMMYFUNCTION("GOOGLETRANSLATE(A733, ""de"", ""uk"")"),"Я їм макарони з томатним соусом на обід.")</f>
        <v>Я їм макарони з томатним соусом на обід.</v>
      </c>
    </row>
    <row r="734" ht="15.75" customHeight="1">
      <c r="A734" s="1" t="s">
        <v>716</v>
      </c>
      <c r="B734" s="2" t="str">
        <f>IFERROR(__xludf.DUMMYFUNCTION("GOOGLETRANSLATE(A734, ""de"", ""uk"")"),"У Німеччині ми їмо хліб на вечерю.")</f>
        <v>У Німеччині ми їмо хліб на вечерю.</v>
      </c>
    </row>
    <row r="735" ht="15.75" customHeight="1">
      <c r="A735" s="1" t="s">
        <v>717</v>
      </c>
      <c r="B735" s="2" t="str">
        <f>IFERROR(__xludf.DUMMYFUNCTION("GOOGLETRANSLATE(A735, ""de"", ""uk"")"),"Я хотів би склянку пива, будь ласка.")</f>
        <v>Я хотів би склянку пива, будь ласка.</v>
      </c>
    </row>
    <row r="736" ht="15.75" customHeight="1">
      <c r="A736" s="1" t="s">
        <v>718</v>
      </c>
      <c r="B736" s="2" t="str">
        <f>IFERROR(__xludf.DUMMYFUNCTION("GOOGLETRANSLATE(A736, ""de"", ""uk"")"),"Ви п'єте цілу пляшку?")</f>
        <v>Ви п'єте цілу пляшку?</v>
      </c>
    </row>
    <row r="737" ht="15.75" customHeight="1">
      <c r="A737" s="1" t="s">
        <v>719</v>
      </c>
      <c r="B737" s="2" t="str">
        <f>IFERROR(__xludf.DUMMYFUNCTION("GOOGLETRANSLATE(A737, ""de"", ""uk"")"),"Посуд дуже дорогий.")</f>
        <v>Посуд дуже дорогий.</v>
      </c>
    </row>
    <row r="738" ht="15.75" customHeight="1">
      <c r="A738" s="1" t="s">
        <v>720</v>
      </c>
      <c r="B738" s="2" t="str">
        <f>IFERROR(__xludf.DUMMYFUNCTION("GOOGLETRANSLATE(A738, ""de"", ""uk"")"),"Дитина випиває чашку молока.")</f>
        <v>Дитина випиває чашку молока.</v>
      </c>
    </row>
    <row r="739" ht="15.75" customHeight="1">
      <c r="A739" s="1" t="s">
        <v>721</v>
      </c>
      <c r="B739" s="2" t="str">
        <f>IFERROR(__xludf.DUMMYFUNCTION("GOOGLETRANSLATE(A739, ""de"", ""uk"")"),"Будь ласка, дайте мені блюдце для чаю.")</f>
        <v>Будь ласка, дайте мені блюдце для чаю.</v>
      </c>
    </row>
    <row r="740" ht="15.75" customHeight="1">
      <c r="A740" s="1" t="s">
        <v>722</v>
      </c>
      <c r="B740" s="2" t="str">
        <f>IFERROR(__xludf.DUMMYFUNCTION("GOOGLETRANSLATE(A740, ""de"", ""uk"")"),"У мене на тарілці ще немає м’яса.")</f>
        <v>У мене на тарілці ще немає м’яса.</v>
      </c>
    </row>
    <row r="741" ht="15.75" customHeight="1">
      <c r="A741" s="1" t="s">
        <v>723</v>
      </c>
      <c r="B741" s="2" t="str">
        <f>IFERROR(__xludf.DUMMYFUNCTION("GOOGLETRANSLATE(A741, ""de"", ""uk"")"),"Вона їсть столовими приборами.")</f>
        <v>Вона їсть столовими приборами.</v>
      </c>
    </row>
    <row r="742" ht="15.75" customHeight="1">
      <c r="A742" s="1" t="s">
        <v>724</v>
      </c>
      <c r="B742" s="2" t="str">
        <f>IFERROR(__xludf.DUMMYFUNCTION("GOOGLETRANSLATE(A742, ""de"", ""uk"")"),"Жінка ріже м'ясо ножем.")</f>
        <v>Жінка ріже м'ясо ножем.</v>
      </c>
    </row>
    <row r="743" ht="15.75" customHeight="1">
      <c r="A743" s="1" t="s">
        <v>725</v>
      </c>
      <c r="B743" s="2" t="str">
        <f>IFERROR(__xludf.DUMMYFUNCTION("GOOGLETRANSLATE(A743, ""de"", ""uk"")"),"Їмо нашу картоплю виделкою.")</f>
        <v>Їмо нашу картоплю виделкою.</v>
      </c>
    </row>
    <row r="744" ht="15.75" customHeight="1">
      <c r="A744" s="1" t="s">
        <v>726</v>
      </c>
      <c r="B744" s="2" t="str">
        <f>IFERROR(__xludf.DUMMYFUNCTION("GOOGLETRANSLATE(A744, ""de"", ""uk"")"),"Я їм соус ложкою.")</f>
        <v>Я їм соус ложкою.</v>
      </c>
    </row>
    <row r="745" ht="15.75" customHeight="1">
      <c r="A745" s="1" t="s">
        <v>727</v>
      </c>
      <c r="B745" s="2" t="str">
        <f>IFERROR(__xludf.DUMMYFUNCTION("GOOGLETRANSLATE(A745, ""de"", ""uk"")"),"Їжа в ресторані дуже хороша.")</f>
        <v>Їжа в ресторані дуже хороша.</v>
      </c>
    </row>
    <row r="746" ht="15.75" customHeight="1">
      <c r="A746" s="1" t="s">
        <v>728</v>
      </c>
      <c r="B746" s="2" t="str">
        <f>IFERROR(__xludf.DUMMYFUNCTION("GOOGLETRANSLATE(A746, ""de"", ""uk"")"),"Соус не має смаку.")</f>
        <v>Соус не має смаку.</v>
      </c>
    </row>
    <row r="747" ht="15.75" customHeight="1">
      <c r="A747" s="1" t="s">
        <v>729</v>
      </c>
      <c r="B747" s="2" t="str">
        <f>IFERROR(__xludf.DUMMYFUNCTION("GOOGLETRANSLATE(A747, ""de"", ""uk"")"),"Дай ще одну сумку.")</f>
        <v>Дай ще одну сумку.</v>
      </c>
    </row>
    <row r="748" ht="15.75" customHeight="1">
      <c r="A748" s="1" t="s">
        <v>730</v>
      </c>
      <c r="B748" s="2" t="str">
        <f>IFERROR(__xludf.DUMMYFUNCTION("GOOGLETRANSLATE(A748, ""de"", ""uk"")"),"Купую сигарети в кіоску.")</f>
        <v>Купую сигарети в кіоску.</v>
      </c>
    </row>
    <row r="749" ht="15.75" customHeight="1">
      <c r="A749" s="1" t="s">
        <v>731</v>
      </c>
      <c r="B749" s="2" t="str">
        <f>IFERROR(__xludf.DUMMYFUNCTION("GOOGLETRANSLATE(A749, ""de"", ""uk"")"),"Будь ласка, дайте мені вашу запальничку.")</f>
        <v>Будь ласка, дайте мені вашу запальничку.</v>
      </c>
    </row>
    <row r="750" ht="15.75" customHeight="1">
      <c r="A750" s="4" t="s">
        <v>732</v>
      </c>
      <c r="B750" s="2" t="str">
        <f>IFERROR(__xludf.DUMMYFUNCTION("GOOGLETRANSLATE(A750, ""de"", ""uk"")"),"Сірники нічого не коштують.")</f>
        <v>Сірники нічого не коштують.</v>
      </c>
    </row>
    <row r="751" ht="15.75" customHeight="1">
      <c r="A751" s="1" t="s">
        <v>733</v>
      </c>
      <c r="B751" s="2" t="str">
        <f>IFERROR(__xludf.DUMMYFUNCTION("GOOGLETRANSLATE(A751, ""de"", ""uk"")"),"Заходить офіціант з меню")</f>
        <v>Заходить офіціант з меню</v>
      </c>
    </row>
    <row r="752" ht="15.75" customHeight="1">
      <c r="A752" s="1" t="s">
        <v>734</v>
      </c>
      <c r="B752" s="2" t="str">
        <f>IFERROR(__xludf.DUMMYFUNCTION("GOOGLETRANSLATE(A752, ""de"", ""uk"")"),"Продавець дає дитині шоколадку.")</f>
        <v>Продавець дає дитині шоколадку.</v>
      </c>
    </row>
    <row r="753" ht="15.75" customHeight="1">
      <c r="A753" s="1" t="s">
        <v>689</v>
      </c>
      <c r="B753" s="2" t="str">
        <f>IFERROR(__xludf.DUMMYFUNCTION("GOOGLETRANSLATE(A753, ""de"", ""uk"")"),"Клієнт оплачує на касі.")</f>
        <v>Клієнт оплачує на касі.</v>
      </c>
    </row>
    <row r="754" ht="15.75" customHeight="1">
      <c r="A754" s="1" t="s">
        <v>735</v>
      </c>
      <c r="B754" s="2" t="str">
        <f>IFERROR(__xludf.DUMMYFUNCTION("GOOGLETRANSLATE(A754, ""de"", ""uk"")"),"Вам ще щось подобається?")</f>
        <v>Вам ще щось подобається?</v>
      </c>
    </row>
    <row r="755" ht="15.75" customHeight="1">
      <c r="A755" s="1" t="s">
        <v>736</v>
      </c>
      <c r="B755" s="2" t="str">
        <f>IFERROR(__xludf.DUMMYFUNCTION("GOOGLETRANSLATE(A755, ""de"", ""uk"")"),"Ресторан купує їжу комерційно.")</f>
        <v>Ресторан купує їжу комерційно.</v>
      </c>
    </row>
    <row r="756" ht="15.75" customHeight="1">
      <c r="A756" s="1" t="s">
        <v>737</v>
      </c>
      <c r="B756" s="2" t="str">
        <f>IFERROR(__xludf.DUMMYFUNCTION("GOOGLETRANSLATE(A756, ""de"", ""uk"")"),"Це не вдала покупка.")</f>
        <v>Це не вдала покупка.</v>
      </c>
    </row>
    <row r="757" ht="15.75" customHeight="1">
      <c r="A757" s="1" t="s">
        <v>738</v>
      </c>
      <c r="B757" s="2" t="str">
        <f>IFERROR(__xludf.DUMMYFUNCTION("GOOGLETRANSLATE(A757, ""de"", ""uk"")"),"Ваша дієта погана.")</f>
        <v>Ваша дієта погана.</v>
      </c>
    </row>
    <row r="758" ht="15.75" customHeight="1">
      <c r="A758" s="1" t="s">
        <v>739</v>
      </c>
      <c r="B758" s="2" t="str">
        <f>IFERROR(__xludf.DUMMYFUNCTION("GOOGLETRANSLATE(A758, ""de"", ""uk"")"),"Харчуюсь тричі на день.")</f>
        <v>Харчуюсь тричі на день.</v>
      </c>
    </row>
    <row r="759" ht="15.75" customHeight="1">
      <c r="A759" s="1" t="s">
        <v>740</v>
      </c>
      <c r="B759" s="2" t="str">
        <f>IFERROR(__xludf.DUMMYFUNCTION("GOOGLETRANSLATE(A759, ""de"", ""uk"")"),"Обслуговування в ресторані дуже погане.")</f>
        <v>Обслуговування в ресторані дуже погане.</v>
      </c>
    </row>
    <row r="760" ht="15.75" customHeight="1">
      <c r="A760" s="1" t="s">
        <v>741</v>
      </c>
      <c r="B760" s="2" t="str">
        <f>IFERROR(__xludf.DUMMYFUNCTION("GOOGLETRANSLATE(A760, ""de"", ""uk"")"),"Випивайте не менше двох літрів на день.")</f>
        <v>Випивайте не менше двох літрів на день.</v>
      </c>
    </row>
    <row r="761" ht="15.75" customHeight="1">
      <c r="A761" s="1" t="s">
        <v>742</v>
      </c>
      <c r="B761" s="2" t="str">
        <f>IFERROR(__xludf.DUMMYFUNCTION("GOOGLETRANSLATE(A761, ""de"", ""uk"")"),"Я хочу свою каву з великою кількістю цукру.")</f>
        <v>Я хочу свою каву з великою кількістю цукру.</v>
      </c>
    </row>
    <row r="762" ht="15.75" customHeight="1">
      <c r="A762" s="1" t="s">
        <v>743</v>
      </c>
      <c r="B762" s="2" t="str">
        <f>IFERROR(__xludf.DUMMYFUNCTION("GOOGLETRANSLATE(A762, ""de"", ""uk"")"),"Чи достатньо солі в соусі?")</f>
        <v>Чи достатньо солі в соусі?</v>
      </c>
    </row>
    <row r="763" ht="15.75" customHeight="1">
      <c r="A763" s="1" t="s">
        <v>744</v>
      </c>
      <c r="B763" s="2" t="str">
        <f>IFERROR(__xludf.DUMMYFUNCTION("GOOGLETRANSLATE(A763, ""de"", ""uk"")"),"Я беру рівно сто грамів горіхів.")</f>
        <v>Я беру рівно сто грамів горіхів.</v>
      </c>
    </row>
    <row r="764" ht="15.75" customHeight="1">
      <c r="A764" s="4" t="s">
        <v>745</v>
      </c>
      <c r="B764" s="2" t="str">
        <f>IFERROR(__xludf.DUMMYFUNCTION("GOOGLETRANSLATE(A764, ""de"", ""uk"")"),"Багато дітей люблять шоколад.")</f>
        <v>Багато дітей люблять шоколад.</v>
      </c>
    </row>
    <row r="765" ht="15.75" customHeight="1">
      <c r="A765" s="1" t="s">
        <v>746</v>
      </c>
      <c r="B765" s="2" t="str">
        <f>IFERROR(__xludf.DUMMYFUNCTION("GOOGLETRANSLATE(A765, ""de"", ""uk"")"),"Я хочу приблизно півкіло шпинату.")</f>
        <v>Я хочу приблизно півкіло шпинату.</v>
      </c>
    </row>
    <row r="766" ht="15.75" customHeight="1">
      <c r="A766" s="1" t="s">
        <v>747</v>
      </c>
      <c r="B766" s="2" t="str">
        <f>IFERROR(__xludf.DUMMYFUNCTION("GOOGLETRANSLATE(A766, ""de"", ""uk"")"),"Я просто хочу трохи цукру.")</f>
        <v>Я просто хочу трохи цукру.</v>
      </c>
    </row>
    <row r="767" ht="15.75" customHeight="1">
      <c r="A767" s="1" t="s">
        <v>185</v>
      </c>
      <c r="B767" s="2" t="str">
        <f>IFERROR(__xludf.DUMMYFUNCTION("GOOGLETRANSLATE(A767, ""de"", ""uk"")"),"Я трохи розмовляю німецькою.")</f>
        <v>Я трохи розмовляю німецькою.</v>
      </c>
    </row>
    <row r="768" ht="15.75" customHeight="1">
      <c r="A768" s="1" t="s">
        <v>748</v>
      </c>
      <c r="B768" s="2" t="str">
        <f>IFERROR(__xludf.DUMMYFUNCTION("GOOGLETRANSLATE(A768, ""de"", ""uk"")"),"Це занадто мало молока.")</f>
        <v>Це занадто мало молока.</v>
      </c>
    </row>
    <row r="769" ht="15.75" customHeight="1">
      <c r="A769" s="1" t="s">
        <v>749</v>
      </c>
      <c r="B769" s="2" t="str">
        <f>IFERROR(__xludf.DUMMYFUNCTION("GOOGLETRANSLATE(A769, ""de"", ""uk"")"),"Він п'є занадто багато пива.")</f>
        <v>Він п'є занадто багато пива.</v>
      </c>
    </row>
    <row r="770" ht="15.75" customHeight="1">
      <c r="A770" s="1" t="s">
        <v>750</v>
      </c>
      <c r="B770" s="2" t="str">
        <f>IFERROR(__xludf.DUMMYFUNCTION("GOOGLETRANSLATE(A770, ""de"", ""uk"")"),"Дайте мені крему, будь ласка.")</f>
        <v>Дайте мені крему, будь ласка.</v>
      </c>
    </row>
    <row r="771" ht="15.75" customHeight="1">
      <c r="A771" s="1" t="s">
        <v>751</v>
      </c>
      <c r="B771" s="2" t="str">
        <f>IFERROR(__xludf.DUMMYFUNCTION("GOOGLETRANSLATE(A771, ""de"", ""uk"")"),"Я нічого не їм у ресторані.")</f>
        <v>Я нічого не їм у ресторані.</v>
      </c>
    </row>
    <row r="772" ht="15.75" customHeight="1">
      <c r="A772" s="1" t="s">
        <v>752</v>
      </c>
      <c r="B772" s="2" t="str">
        <f>IFERROR(__xludf.DUMMYFUNCTION("GOOGLETRANSLATE(A772, ""de"", ""uk"")"),"Ви не їсте картоплю фрі.")</f>
        <v>Ви не їсте картоплю фрі.</v>
      </c>
    </row>
    <row r="773" ht="15.75" customHeight="1">
      <c r="A773" s="1" t="s">
        <v>753</v>
      </c>
      <c r="B773" s="2" t="str">
        <f>IFERROR(__xludf.DUMMYFUNCTION("GOOGLETRANSLATE(A773, ""de"", ""uk"")"),"Він хоче більше меду, будь ласка.")</f>
        <v>Він хоче більше меду, будь ласка.</v>
      </c>
    </row>
    <row r="774" ht="15.75" customHeight="1">
      <c r="A774" s="1" t="s">
        <v>754</v>
      </c>
      <c r="B774" s="2" t="str">
        <f>IFERROR(__xludf.DUMMYFUNCTION("GOOGLETRANSLATE(A774, ""de"", ""uk"")"),"Це майже два кілограми помідорів.")</f>
        <v>Це майже два кілограми помідорів.</v>
      </c>
    </row>
    <row r="775" ht="15.75" customHeight="1">
      <c r="A775" s="1" t="s">
        <v>755</v>
      </c>
      <c r="B775" s="2" t="str">
        <f>IFERROR(__xludf.DUMMYFUNCTION("GOOGLETRANSLATE(A775, ""de"", ""uk"")"),"Скільки огірків ти хочеш?")</f>
        <v>Скільки огірків ти хочеш?</v>
      </c>
    </row>
    <row r="776" ht="15.75" customHeight="1">
      <c r="A776" s="1" t="s">
        <v>756</v>
      </c>
      <c r="B776" s="2" t="str">
        <f>IFERROR(__xludf.DUMMYFUNCTION("GOOGLETRANSLATE(A776, ""de"", ""uk"")"),"Помідори коштують три євро за кілограм.")</f>
        <v>Помідори коштують три євро за кілограм.</v>
      </c>
    </row>
    <row r="777" ht="15.75" customHeight="1">
      <c r="A777" s="1" t="s">
        <v>757</v>
      </c>
      <c r="B777" s="2" t="str">
        <f>IFERROR(__xludf.DUMMYFUNCTION("GOOGLETRANSLATE(A777, ""de"", ""uk"")"),"Додайте в соус близько трьохсот грамів борошна.")</f>
        <v>Додайте в соус близько трьохсот грамів борошна.</v>
      </c>
    </row>
    <row r="778" ht="15.75" customHeight="1">
      <c r="A778" s="1" t="s">
        <v>758</v>
      </c>
      <c r="B778" s="2" t="str">
        <f>IFERROR(__xludf.DUMMYFUNCTION("GOOGLETRANSLATE(A778, ""de"", ""uk"")"),"Вино коштує вісім євро за пляшку.")</f>
        <v>Вино коштує вісім євро за пляшку.</v>
      </c>
    </row>
    <row r="779" ht="15.75" customHeight="1">
      <c r="A779" s="1" t="s">
        <v>759</v>
      </c>
      <c r="B779" s="2" t="str">
        <f>IFERROR(__xludf.DUMMYFUNCTION("GOOGLETRANSLATE(A779, ""de"", ""uk"")"),"Двісті грамів м'яса, будь ласка.")</f>
        <v>Двісті грамів м'яса, будь ласка.</v>
      </c>
    </row>
    <row r="780" ht="15.75" customHeight="1">
      <c r="A780" s="1" t="s">
        <v>760</v>
      </c>
      <c r="B780" s="2" t="str">
        <f>IFERROR(__xludf.DUMMYFUNCTION("GOOGLETRANSLATE(A780, ""de"", ""uk"")"),"П'ятсот грамів - це фунт.")</f>
        <v>П'ятсот грамів - це фунт.</v>
      </c>
    </row>
    <row r="781" ht="15.75" customHeight="1">
      <c r="A781" s="1" t="s">
        <v>761</v>
      </c>
      <c r="B781" s="2" t="str">
        <f>IFERROR(__xludf.DUMMYFUNCTION("GOOGLETRANSLATE(A781, ""de"", ""uk"")"),"Два фунти - це один кілограм.")</f>
        <v>Два фунти - це один кілограм.</v>
      </c>
    </row>
    <row r="782" ht="15.75" customHeight="1">
      <c r="A782" s="1" t="s">
        <v>762</v>
      </c>
      <c r="B782" s="2" t="str">
        <f>IFERROR(__xludf.DUMMYFUNCTION("GOOGLETRANSLATE(A782, ""de"", ""uk"")"),"Вода кипить при ста градусах Цельсія.")</f>
        <v>Вода кипить при ста градусах Цельсія.</v>
      </c>
    </row>
    <row r="783" ht="15.75" customHeight="1">
      <c r="A783" s="1" t="s">
        <v>763</v>
      </c>
      <c r="B783" s="2" t="str">
        <f>IFERROR(__xludf.DUMMYFUNCTION("GOOGLETRANSLATE(A783, ""de"", ""uk"")"),"Тисяча мілілітрів дорівнює одному літру.")</f>
        <v>Тисяча мілілітрів дорівнює одному літру.</v>
      </c>
    </row>
    <row r="784" ht="15.75" customHeight="1">
      <c r="A784" s="1" t="s">
        <v>764</v>
      </c>
      <c r="B784" s="2" t="str">
        <f>IFERROR(__xludf.DUMMYFUNCTION("GOOGLETRANSLATE(A784, ""de"", ""uk"")"),"Випиваємо два літри води на день.")</f>
        <v>Випиваємо два літри води на день.</v>
      </c>
    </row>
    <row r="785" ht="15.75" customHeight="1">
      <c r="A785" s="1" t="s">
        <v>765</v>
      </c>
      <c r="B785" s="2" t="str">
        <f>IFERROR(__xludf.DUMMYFUNCTION("GOOGLETRANSLATE(A785, ""de"", ""uk"")"),"Чоловік випиває півлітра вина.")</f>
        <v>Чоловік випиває півлітра вина.</v>
      </c>
    </row>
    <row r="786" ht="15.75" customHeight="1">
      <c r="A786" s="1" t="s">
        <v>766</v>
      </c>
      <c r="B786" s="2" t="str">
        <f>IFERROR(__xludf.DUMMYFUNCTION("GOOGLETRANSLATE(A786, ""de"", ""uk"")"),"М'ясник продає ковбасу в бідоні.")</f>
        <v>М'ясник продає ковбасу в бідоні.</v>
      </c>
    </row>
    <row r="787" ht="15.75" customHeight="1">
      <c r="A787" s="1" t="s">
        <v>767</v>
      </c>
      <c r="B787" s="2" t="str">
        <f>IFERROR(__xludf.DUMMYFUNCTION("GOOGLETRANSLATE(A787, ""de"", ""uk"")"),"Два шматочки ковбаси, будь ласка.")</f>
        <v>Два шматочки ковбаси, будь ласка.</v>
      </c>
    </row>
    <row r="788" ht="15.75" customHeight="1">
      <c r="A788" s="1" t="s">
        <v>768</v>
      </c>
      <c r="B788" s="2" t="str">
        <f>IFERROR(__xludf.DUMMYFUNCTION("GOOGLETRANSLATE(A788, ""de"", ""uk"")"),"Бажаєте масло на свій хліб?")</f>
        <v>Бажаєте масло на свій хліб?</v>
      </c>
    </row>
    <row r="789" ht="15.75" customHeight="1">
      <c r="A789" s="1" t="s">
        <v>769</v>
      </c>
      <c r="B789" s="2" t="str">
        <f>IFERROR(__xludf.DUMMYFUNCTION("GOOGLETRANSLATE(A789, ""de"", ""uk"")"),"Сир родом з Німеччини.")</f>
        <v>Сир родом з Німеччини.</v>
      </c>
    </row>
    <row r="790" ht="15.75" customHeight="1">
      <c r="A790" s="1" t="s">
        <v>770</v>
      </c>
      <c r="B790" s="2" t="str">
        <f>IFERROR(__xludf.DUMMYFUNCTION("GOOGLETRANSLATE(A790, ""de"", ""uk"")"),"Ковбасу нарізаю скибочками.")</f>
        <v>Ковбасу нарізаю скибочками.</v>
      </c>
    </row>
    <row r="791" ht="15.75" customHeight="1">
      <c r="A791" s="1" t="s">
        <v>771</v>
      </c>
      <c r="B791" s="2" t="str">
        <f>IFERROR(__xludf.DUMMYFUNCTION("GOOGLETRANSLATE(A791, ""de"", ""uk"")"),"Жінка варить яйце для дитини.")</f>
        <v>Жінка варить яйце для дитини.</v>
      </c>
    </row>
    <row r="792" ht="15.75" customHeight="1">
      <c r="A792" s="1" t="s">
        <v>772</v>
      </c>
      <c r="B792" s="2" t="str">
        <f>IFERROR(__xludf.DUMMYFUNCTION("GOOGLETRANSLATE(A792, ""de"", ""uk"")"),"Додайте в соус трохи борошна.")</f>
        <v>Додайте в соус трохи борошна.</v>
      </c>
    </row>
    <row r="793" ht="15.75" customHeight="1">
      <c r="A793" s="1" t="s">
        <v>773</v>
      </c>
      <c r="B793" s="2" t="str">
        <f>IFERROR(__xludf.DUMMYFUNCTION("GOOGLETRANSLATE(A793, ""de"", ""uk"")"),"Передайте мені, будь ласка, перець?")</f>
        <v>Передайте мені, будь ласка, перець?</v>
      </c>
    </row>
    <row r="794" ht="15.75" customHeight="1">
      <c r="A794" s="1" t="s">
        <v>774</v>
      </c>
      <c r="B794" s="2" t="str">
        <f>IFERROR(__xludf.DUMMYFUNCTION("GOOGLETRANSLATE(A794, ""de"", ""uk"")"),"Тільки трохи солі, будь ласка.")</f>
        <v>Тільки трохи солі, будь ласка.</v>
      </c>
    </row>
    <row r="795" ht="15.75" customHeight="1">
      <c r="A795" s="1" t="s">
        <v>775</v>
      </c>
      <c r="B795" s="2" t="str">
        <f>IFERROR(__xludf.DUMMYFUNCTION("GOOGLETRANSLATE(A795, ""de"", ""uk"")"),"Я хотів би трохи цукру в свій чай, будь ласка.")</f>
        <v>Я хотів би трохи цукру в свій чай, будь ласка.</v>
      </c>
    </row>
    <row r="796" ht="15.75" customHeight="1">
      <c r="A796" s="1" t="s">
        <v>776</v>
      </c>
      <c r="B796" s="2" t="str">
        <f>IFERROR(__xludf.DUMMYFUNCTION("GOOGLETRANSLATE(A796, ""de"", ""uk"")"),"Вона готує з великою кількістю олії.")</f>
        <v>Вона готує з великою кількістю олії.</v>
      </c>
    </row>
    <row r="797" ht="15.75" customHeight="1">
      <c r="A797" s="1" t="s">
        <v>777</v>
      </c>
      <c r="B797" s="2" t="str">
        <f>IFERROR(__xludf.DUMMYFUNCTION("GOOGLETRANSLATE(A797, ""de"", ""uk"")"),"У салаті багато оцту.")</f>
        <v>У салаті багато оцту.</v>
      </c>
    </row>
    <row r="798" ht="15.75" customHeight="1">
      <c r="A798" s="1" t="s">
        <v>778</v>
      </c>
      <c r="B798" s="2" t="str">
        <f>IFERROR(__xludf.DUMMYFUNCTION("GOOGLETRANSLATE(A798, ""de"", ""uk"")"),"Локшина готується за дві хвилини.")</f>
        <v>Локшина готується за дві хвилини.</v>
      </c>
    </row>
    <row r="799" ht="15.75" customHeight="1">
      <c r="A799" s="1" t="s">
        <v>779</v>
      </c>
      <c r="B799" s="2" t="str">
        <f>IFERROR(__xludf.DUMMYFUNCTION("GOOGLETRANSLATE(A799, ""de"", ""uk"")"),"Я візьму ще одну тарілку рису, будь ласка.")</f>
        <v>Я візьму ще одну тарілку рису, будь ласка.</v>
      </c>
    </row>
    <row r="800" ht="15.75" customHeight="1">
      <c r="A800" s="1" t="s">
        <v>780</v>
      </c>
      <c r="B800" s="2" t="str">
        <f>IFERROR(__xludf.DUMMYFUNCTION("GOOGLETRANSLATE(A800, ""de"", ""uk"")"),"Риба дуже свіжа.")</f>
        <v>Риба дуже свіжа.</v>
      </c>
    </row>
    <row r="801" ht="15.75" customHeight="1">
      <c r="A801" s="1" t="s">
        <v>781</v>
      </c>
      <c r="B801" s="2" t="str">
        <f>IFERROR(__xludf.DUMMYFUNCTION("GOOGLETRANSLATE(A801, ""de"", ""uk"")"),"Я не їм м'яса.")</f>
        <v>Я не їм м'яса.</v>
      </c>
    </row>
    <row r="802" ht="15.75" customHeight="1">
      <c r="A802" s="1" t="s">
        <v>782</v>
      </c>
      <c r="B802" s="2" t="str">
        <f>IFERROR(__xludf.DUMMYFUNCTION("GOOGLETRANSLATE(A802, ""de"", ""uk"")"),"Клієнт купує птицю.")</f>
        <v>Клієнт купує птицю.</v>
      </c>
    </row>
    <row r="803" ht="15.75" customHeight="1">
      <c r="A803" s="1" t="s">
        <v>783</v>
      </c>
      <c r="B803" s="2" t="str">
        <f>IFERROR(__xludf.DUMMYFUNCTION("GOOGLETRANSLATE(A803, ""de"", ""uk"")"),"Будь ласка, наріжте хліб скибочками.")</f>
        <v>Будь ласка, наріжте хліб скибочками.</v>
      </c>
    </row>
    <row r="804" ht="15.75" customHeight="1">
      <c r="A804" s="1" t="s">
        <v>784</v>
      </c>
      <c r="B804" s="2" t="str">
        <f>IFERROR(__xludf.DUMMYFUNCTION("GOOGLETRANSLATE(A804, ""de"", ""uk"")"),"Розрізаю булочку навпіл.")</f>
        <v>Розрізаю булочку навпіл.</v>
      </c>
    </row>
    <row r="805" ht="15.75" customHeight="1">
      <c r="A805" s="1" t="s">
        <v>785</v>
      </c>
      <c r="B805" s="2" t="str">
        <f>IFERROR(__xludf.DUMMYFUNCTION("GOOGLETRANSLATE(A805, ""de"", ""uk"")"),"Торт в кафе дуже дорогий.")</f>
        <v>Торт в кафе дуже дорогий.</v>
      </c>
    </row>
    <row r="806" ht="15.75" customHeight="1">
      <c r="A806" s="1" t="s">
        <v>786</v>
      </c>
      <c r="B806" s="2" t="str">
        <f>IFERROR(__xludf.DUMMYFUNCTION("GOOGLETRANSLATE(A806, ""de"", ""uk"")"),"У супі забагато солі.")</f>
        <v>У супі забагато солі.</v>
      </c>
    </row>
    <row r="807" ht="15.75" customHeight="1">
      <c r="A807" s="1" t="s">
        <v>787</v>
      </c>
      <c r="B807" s="2" t="str">
        <f>IFERROR(__xludf.DUMMYFUNCTION("GOOGLETRANSLATE(A807, ""de"", ""uk"")"),"Моя дитина не отримає картоплю фрі.")</f>
        <v>Моя дитина не отримає картоплю фрі.</v>
      </c>
    </row>
    <row r="808" ht="15.75" customHeight="1">
      <c r="A808" s="1" t="s">
        <v>788</v>
      </c>
      <c r="B808" s="2" t="str">
        <f>IFERROR(__xludf.DUMMYFUNCTION("GOOGLETRANSLATE(A808, ""de"", ""uk"")"),"Діти люблять шоколад.")</f>
        <v>Діти люблять шоколад.</v>
      </c>
    </row>
    <row r="809" ht="15.75" customHeight="1">
      <c r="A809" s="1" t="s">
        <v>789</v>
      </c>
      <c r="B809" s="2" t="str">
        <f>IFERROR(__xludf.DUMMYFUNCTION("GOOGLETRANSLATE(A809, ""de"", ""uk"")"),"Дайте мені ще морозива, будь ласка.")</f>
        <v>Дайте мені ще морозива, будь ласка.</v>
      </c>
    </row>
    <row r="810" ht="15.75" customHeight="1">
      <c r="A810" s="1" t="s">
        <v>790</v>
      </c>
      <c r="B810" s="2" t="str">
        <f>IFERROR(__xludf.DUMMYFUNCTION("GOOGLETRANSLATE(A810, ""de"", ""uk"")"),"Я їм булочку з медом.")</f>
        <v>Я їм булочку з медом.</v>
      </c>
    </row>
    <row r="811" ht="15.75" customHeight="1">
      <c r="A811" s="1" t="s">
        <v>791</v>
      </c>
      <c r="B811" s="2" t="str">
        <f>IFERROR(__xludf.DUMMYFUNCTION("GOOGLETRANSLATE(A811, ""de"", ""uk"")"),"Шинка коштує лише п’ять євро за кілограм.")</f>
        <v>Шинка коштує лише п’ять євро за кілограм.</v>
      </c>
    </row>
    <row r="812" ht="15.75" customHeight="1">
      <c r="A812" s="1" t="s">
        <v>792</v>
      </c>
      <c r="B812" s="2" t="str">
        <f>IFERROR(__xludf.DUMMYFUNCTION("GOOGLETRANSLATE(A812, ""de"", ""uk"")"),"З полуниці варять варення.")</f>
        <v>З полуниці варять варення.</v>
      </c>
    </row>
    <row r="813" ht="15.75" customHeight="1">
      <c r="A813" s="1" t="s">
        <v>793</v>
      </c>
      <c r="B813" s="2" t="str">
        <f>IFERROR(__xludf.DUMMYFUNCTION("GOOGLETRANSLATE(A813, ""de"", ""uk"")"),"Я хочу каву з вершками, будь ласка.")</f>
        <v>Я хочу каву з вершками, будь ласка.</v>
      </c>
    </row>
    <row r="814" ht="15.75" customHeight="1">
      <c r="A814" s="1" t="s">
        <v>794</v>
      </c>
      <c r="B814" s="2" t="str">
        <f>IFERROR(__xludf.DUMMYFUNCTION("GOOGLETRANSLATE(A814, ""de"", ""uk"")"),"Чоловік готує соус з цибулі та помідорів.")</f>
        <v>Чоловік готує соус з цибулі та помідорів.</v>
      </c>
    </row>
    <row r="815" ht="15.75" customHeight="1">
      <c r="A815" s="1" t="s">
        <v>795</v>
      </c>
      <c r="B815" s="2" t="str">
        <f>IFERROR(__xludf.DUMMYFUNCTION("GOOGLETRANSLATE(A815, ""de"", ""uk"")"),"У ресторані шніцель коштує дванадцять євро.")</f>
        <v>У ресторані шніцель коштує дванадцять євро.</v>
      </c>
    </row>
    <row r="816" ht="15.75" customHeight="1">
      <c r="A816" s="1" t="s">
        <v>796</v>
      </c>
      <c r="B816" s="2" t="str">
        <f>IFERROR(__xludf.DUMMYFUNCTION("GOOGLETRANSLATE(A816, ""de"", ""uk"")"),"Їжа в супермаркеті дуже дешева.")</f>
        <v>Їжа в супермаркеті дуже дешева.</v>
      </c>
    </row>
    <row r="817" ht="15.75" customHeight="1">
      <c r="A817" s="1" t="s">
        <v>797</v>
      </c>
      <c r="B817" s="2" t="str">
        <f>IFERROR(__xludf.DUMMYFUNCTION("GOOGLETRANSLATE(A817, ""de"", ""uk"")"),"Чай, кава та сік – це напої.")</f>
        <v>Чай, кава та сік – це напої.</v>
      </c>
    </row>
    <row r="818" ht="15.75" customHeight="1">
      <c r="A818" s="1" t="s">
        <v>798</v>
      </c>
      <c r="B818" s="2" t="str">
        <f>IFERROR(__xludf.DUMMYFUNCTION("GOOGLETRANSLATE(A818, ""de"", ""uk"")"),"Я п'ю тільки пиво.")</f>
        <v>Я п'ю тільки пиво.</v>
      </c>
    </row>
    <row r="819" ht="15.75" customHeight="1">
      <c r="A819" s="1" t="s">
        <v>799</v>
      </c>
      <c r="B819" s="2" t="str">
        <f>IFERROR(__xludf.DUMMYFUNCTION("GOOGLETRANSLATE(A819, ""de"", ""uk"")"),"Я не люблю вина.")</f>
        <v>Я не люблю вина.</v>
      </c>
    </row>
    <row r="820" ht="15.75" customHeight="1">
      <c r="A820" s="1" t="s">
        <v>800</v>
      </c>
      <c r="B820" s="2" t="str">
        <f>IFERROR(__xludf.DUMMYFUNCTION("GOOGLETRANSLATE(A820, ""de"", ""uk"")"),"Я хочу мою каву з молоком і цукром, будь ласка.")</f>
        <v>Я хочу мою каву з молоком і цукром, будь ласка.</v>
      </c>
    </row>
    <row r="821" ht="15.75" customHeight="1">
      <c r="A821" s="1" t="s">
        <v>801</v>
      </c>
      <c r="B821" s="2" t="str">
        <f>IFERROR(__xludf.DUMMYFUNCTION("GOOGLETRANSLATE(A821, ""de"", ""uk"")"),"Будь ласка, я посиплю трохи цукру в чай.")</f>
        <v>Будь ласка, я посиплю трохи цукру в чай.</v>
      </c>
    </row>
    <row r="822" ht="15.75" customHeight="1">
      <c r="A822" s="1" t="s">
        <v>802</v>
      </c>
      <c r="B822" s="2" t="str">
        <f>IFERROR(__xludf.DUMMYFUNCTION("GOOGLETRANSLATE(A822, ""de"", ""uk"")"),"Дитина любить молоко.")</f>
        <v>Дитина любить молоко.</v>
      </c>
    </row>
    <row r="823" ht="15.75" customHeight="1">
      <c r="A823" s="1" t="s">
        <v>803</v>
      </c>
      <c r="B823" s="2" t="str">
        <f>IFERROR(__xludf.DUMMYFUNCTION("GOOGLETRANSLATE(A823, ""de"", ""uk"")"),"Сік дуже солодкий.")</f>
        <v>Сік дуже солодкий.</v>
      </c>
    </row>
    <row r="824" ht="15.75" customHeight="1">
      <c r="A824" s="1" t="s">
        <v>804</v>
      </c>
      <c r="B824" s="2" t="str">
        <f>IFERROR(__xludf.DUMMYFUNCTION("GOOGLETRANSLATE(A824, ""de"", ""uk"")"),"Я п'ю бутильовану мінеральну воду.")</f>
        <v>Я п'ю бутильовану мінеральну воду.</v>
      </c>
    </row>
    <row r="825" ht="15.75" customHeight="1">
      <c r="A825" s="1" t="s">
        <v>805</v>
      </c>
      <c r="B825" s="2" t="str">
        <f>IFERROR(__xludf.DUMMYFUNCTION("GOOGLETRANSLATE(A825, ""de"", ""uk"")"),"На ринку є свіжі овочі.")</f>
        <v>На ринку є свіжі овочі.</v>
      </c>
    </row>
    <row r="826" ht="15.75" customHeight="1">
      <c r="A826" s="1" t="s">
        <v>806</v>
      </c>
      <c r="B826" s="2" t="str">
        <f>IFERROR(__xludf.DUMMYFUNCTION("GOOGLETRANSLATE(A826, ""de"", ""uk"")"),"У супермаркеті продається хороша їжа.")</f>
        <v>У супермаркеті продається хороша їжа.</v>
      </c>
    </row>
    <row r="827" ht="15.75" customHeight="1">
      <c r="A827" s="1" t="s">
        <v>807</v>
      </c>
      <c r="B827" s="2" t="str">
        <f>IFERROR(__xludf.DUMMYFUNCTION("GOOGLETRANSLATE(A827, ""de"", ""uk"")"),"У кіоску овочів немає.")</f>
        <v>У кіоску овочів немає.</v>
      </c>
    </row>
    <row r="828" ht="15.75" customHeight="1">
      <c r="A828" s="1" t="s">
        <v>808</v>
      </c>
      <c r="B828" s="2" t="str">
        <f>IFERROR(__xludf.DUMMYFUNCTION("GOOGLETRANSLATE(A828, ""de"", ""uk"")"),"Я купую хліб у пекарні.")</f>
        <v>Я купую хліб у пекарні.</v>
      </c>
    </row>
    <row r="829" ht="15.75" customHeight="1">
      <c r="A829" s="1" t="s">
        <v>676</v>
      </c>
      <c r="B829" s="2" t="str">
        <f>IFERROR(__xludf.DUMMYFUNCTION("GOOGLETRANSLATE(A829, ""de"", ""uk"")"),"М'ясний магазин продає м'ясо.")</f>
        <v>М'ясний магазин продає м'ясо.</v>
      </c>
    </row>
    <row r="830" ht="15.75" customHeight="1">
      <c r="A830" s="1" t="s">
        <v>809</v>
      </c>
      <c r="B830" s="2" t="str">
        <f>IFERROR(__xludf.DUMMYFUNCTION("GOOGLETRANSLATE(A830, ""de"", ""uk"")"),"Перукарня дуже дорога.")</f>
        <v>Перукарня дуже дорога.</v>
      </c>
    </row>
    <row r="831" ht="15.75" customHeight="1">
      <c r="A831" s="1" t="s">
        <v>810</v>
      </c>
      <c r="B831" s="2" t="str">
        <f>IFERROR(__xludf.DUMMYFUNCTION("GOOGLETRANSLATE(A831, ""de"", ""uk"")"),"Я п'ю каву в кафе.")</f>
        <v>Я п'ю каву в кафе.</v>
      </c>
    </row>
    <row r="832" ht="15.75" customHeight="1">
      <c r="A832" s="1" t="s">
        <v>811</v>
      </c>
      <c r="B832" s="2" t="str">
        <f>IFERROR(__xludf.DUMMYFUNCTION("GOOGLETRANSLATE(A832, ""de"", ""uk"")"),"В ресторані хороша кухня.")</f>
        <v>В ресторані хороша кухня.</v>
      </c>
    </row>
    <row r="833" ht="15.75" customHeight="1">
      <c r="A833" s="1" t="s">
        <v>812</v>
      </c>
      <c r="B833" s="2" t="str">
        <f>IFERROR(__xludf.DUMMYFUNCTION("GOOGLETRANSLATE(A833, ""de"", ""uk"")"),"У магазині тільки солодощі.")</f>
        <v>У магазині тільки солодощі.</v>
      </c>
    </row>
    <row r="834" ht="15.75" customHeight="1">
      <c r="A834" s="1" t="s">
        <v>813</v>
      </c>
      <c r="B834" s="2" t="str">
        <f>IFERROR(__xludf.DUMMYFUNCTION("GOOGLETRANSLATE(A834, ""de"", ""uk"")"),"Діти не люблять овочів.")</f>
        <v>Діти не люблять овочів.</v>
      </c>
    </row>
    <row r="835" ht="15.75" customHeight="1">
      <c r="A835" s="1" t="s">
        <v>814</v>
      </c>
      <c r="B835" s="2" t="str">
        <f>IFERROR(__xludf.DUMMYFUNCTION("GOOGLETRANSLATE(A835, ""de"", ""uk"")"),"Я хотів би баклажани, будь ласка.")</f>
        <v>Я хотів би баклажани, будь ласка.</v>
      </c>
    </row>
    <row r="836" ht="15.75" customHeight="1">
      <c r="A836" s="1" t="s">
        <v>815</v>
      </c>
      <c r="B836" s="2" t="str">
        <f>IFERROR(__xludf.DUMMYFUNCTION("GOOGLETRANSLATE(A836, ""de"", ""uk"")"),"Ви не любите перець?")</f>
        <v>Ви не любите перець?</v>
      </c>
    </row>
    <row r="837" ht="15.75" customHeight="1">
      <c r="A837" s="1" t="s">
        <v>816</v>
      </c>
      <c r="B837" s="2" t="str">
        <f>IFERROR(__xludf.DUMMYFUNCTION("GOOGLETRANSLATE(A837, ""de"", ""uk"")"),"Я їм шпинат з рисом.")</f>
        <v>Я їм шпинат з рисом.</v>
      </c>
    </row>
    <row r="838" ht="15.75" customHeight="1">
      <c r="A838" s="1" t="s">
        <v>817</v>
      </c>
      <c r="B838" s="2" t="str">
        <f>IFERROR(__xludf.DUMMYFUNCTION("GOOGLETRANSLATE(A838, ""de"", ""uk"")"),"Готуємо квасолю з картоплею і соусом.")</f>
        <v>Готуємо квасолю з картоплею і соусом.</v>
      </c>
    </row>
    <row r="839" ht="15.75" customHeight="1">
      <c r="A839" s="1" t="s">
        <v>818</v>
      </c>
      <c r="B839" s="2" t="str">
        <f>IFERROR(__xludf.DUMMYFUNCTION("GOOGLETRANSLATE(A839, ""de"", ""uk"")"),"Дайте, будь ласка, кілограм гороху.")</f>
        <v>Дайте, будь ласка, кілограм гороху.</v>
      </c>
    </row>
    <row r="840" ht="15.75" customHeight="1">
      <c r="A840" s="1" t="s">
        <v>819</v>
      </c>
      <c r="B840" s="2" t="str">
        <f>IFERROR(__xludf.DUMMYFUNCTION("GOOGLETRANSLATE(A840, ""de"", ""uk"")"),"Морква коштує два євро за кілограм.")</f>
        <v>Морква коштує два євро за кілограм.</v>
      </c>
    </row>
    <row r="841" ht="15.75" customHeight="1">
      <c r="A841" s="1" t="s">
        <v>820</v>
      </c>
      <c r="B841" s="2" t="str">
        <f>IFERROR(__xludf.DUMMYFUNCTION("GOOGLETRANSLATE(A841, ""de"", ""uk"")"),"Купую консервовану кукурудзу.")</f>
        <v>Купую консервовану кукурудзу.</v>
      </c>
    </row>
    <row r="842" ht="15.75" customHeight="1">
      <c r="A842" s="1" t="s">
        <v>821</v>
      </c>
      <c r="B842" s="2" t="str">
        <f>IFERROR(__xludf.DUMMYFUNCTION("GOOGLETRANSLATE(A842, ""de"", ""uk"")"),"Картопля гнила.")</f>
        <v>Картопля гнила.</v>
      </c>
    </row>
    <row r="843" ht="15.75" customHeight="1">
      <c r="A843" s="1" t="s">
        <v>822</v>
      </c>
      <c r="B843" s="2" t="str">
        <f>IFERROR(__xludf.DUMMYFUNCTION("GOOGLETRANSLATE(A843, ""de"", ""uk"")"),"Помідори родом з Німеччини.")</f>
        <v>Помідори родом з Німеччини.</v>
      </c>
    </row>
    <row r="844" ht="15.75" customHeight="1">
      <c r="A844" s="1" t="s">
        <v>823</v>
      </c>
      <c r="B844" s="2" t="str">
        <f>IFERROR(__xludf.DUMMYFUNCTION("GOOGLETRANSLATE(A844, ""de"", ""uk"")"),"Я просто хочу огірок, будь ласка.")</f>
        <v>Я просто хочу огірок, будь ласка.</v>
      </c>
    </row>
    <row r="845" ht="15.75" customHeight="1">
      <c r="A845" s="1" t="s">
        <v>824</v>
      </c>
      <c r="B845" s="2" t="str">
        <f>IFERROR(__xludf.DUMMYFUNCTION("GOOGLETRANSLATE(A845, ""de"", ""uk"")"),"Жінка нарізає цибулю в їжу.")</f>
        <v>Жінка нарізає цибулю в їжу.</v>
      </c>
    </row>
    <row r="846" ht="15.75" customHeight="1">
      <c r="A846" s="1" t="s">
        <v>825</v>
      </c>
      <c r="B846" s="2" t="str">
        <f>IFERROR(__xludf.DUMMYFUNCTION("GOOGLETRANSLATE(A846, ""de"", ""uk"")"),"Я не їм кабачок.")</f>
        <v>Я не їм кабачок.</v>
      </c>
    </row>
    <row r="847" ht="15.75" customHeight="1">
      <c r="A847" s="1" t="s">
        <v>826</v>
      </c>
      <c r="B847" s="2" t="str">
        <f>IFERROR(__xludf.DUMMYFUNCTION("GOOGLETRANSLATE(A847, ""de"", ""uk"")"),"Чоловік готує грибний соус.")</f>
        <v>Чоловік готує грибний соус.</v>
      </c>
    </row>
    <row r="848" ht="15.75" customHeight="1">
      <c r="A848" s="1" t="s">
        <v>827</v>
      </c>
      <c r="B848" s="2" t="str">
        <f>IFERROR(__xludf.DUMMYFUNCTION("GOOGLETRANSLATE(A848, ""de"", ""uk"")"),"Додайте в салат сто грамів горіхів.")</f>
        <v>Додайте в салат сто грамів горіхів.</v>
      </c>
    </row>
    <row r="849" ht="15.75" customHeight="1">
      <c r="A849" s="1" t="s">
        <v>828</v>
      </c>
      <c r="B849" s="2" t="str">
        <f>IFERROR(__xludf.DUMMYFUNCTION("GOOGLETRANSLATE(A849, ""de"", ""uk"")"),"Я не хочу салат, будь ласка.")</f>
        <v>Я не хочу салат, будь ласка.</v>
      </c>
    </row>
    <row r="850" ht="15.75" customHeight="1">
      <c r="A850" s="1" t="s">
        <v>829</v>
      </c>
      <c r="B850" s="2" t="str">
        <f>IFERROR(__xludf.DUMMYFUNCTION("GOOGLETRANSLATE(A850, ""de"", ""uk"")"),"Банкомат не видає гроші.")</f>
        <v>Банкомат не видає гроші.</v>
      </c>
    </row>
    <row r="851" ht="15.75" customHeight="1">
      <c r="A851" s="1" t="s">
        <v>830</v>
      </c>
      <c r="B851" s="2" t="str">
        <f>IFERROR(__xludf.DUMMYFUNCTION("GOOGLETRANSLATE(A851, ""de"", ""uk"")"),"Сьогодні в продажу полуниця.")</f>
        <v>Сьогодні в продажу полуниця.</v>
      </c>
    </row>
    <row r="852" ht="15.75" customHeight="1">
      <c r="A852" s="1" t="s">
        <v>831</v>
      </c>
      <c r="B852" s="2" t="str">
        <f>IFERROR(__xludf.DUMMYFUNCTION("GOOGLETRANSLATE(A852, ""de"", ""uk"")"),"Скільки коштують помідори?")</f>
        <v>Скільки коштують помідори?</v>
      </c>
    </row>
    <row r="853" ht="15.75" customHeight="1">
      <c r="A853" s="1" t="s">
        <v>832</v>
      </c>
      <c r="B853" s="2" t="str">
        <f>IFERROR(__xludf.DUMMYFUNCTION("GOOGLETRANSLATE(A853, ""de"", ""uk"")"),"Клієнт оплачує на касі.")</f>
        <v>Клієнт оплачує на касі.</v>
      </c>
    </row>
    <row r="854" ht="15.75" customHeight="1">
      <c r="A854" s="1" t="s">
        <v>833</v>
      </c>
      <c r="B854" s="2" t="str">
        <f>IFERROR(__xludf.DUMMYFUNCTION("GOOGLETRANSLATE(A854, ""de"", ""uk"")"),"У моєму гаманці сто євро.")</f>
        <v>У моєму гаманці сто євро.</v>
      </c>
    </row>
    <row r="855" ht="15.75" customHeight="1">
      <c r="A855" s="1" t="s">
        <v>834</v>
      </c>
      <c r="B855" s="2" t="str">
        <f>IFERROR(__xludf.DUMMYFUNCTION("GOOGLETRANSLATE(A855, ""de"", ""uk"")"),"У мене в гаманці є посвідчення особи.")</f>
        <v>У мене в гаманці є посвідчення особи.</v>
      </c>
    </row>
    <row r="856" ht="15.75" customHeight="1">
      <c r="A856" s="1" t="s">
        <v>835</v>
      </c>
      <c r="B856" s="2" t="str">
        <f>IFERROR(__xludf.DUMMYFUNCTION("GOOGLETRANSLATE(A856, ""de"", ""uk"")"),"Рахунок буде пізніше.")</f>
        <v>Рахунок буде пізніше.</v>
      </c>
    </row>
    <row r="857" ht="15.75" customHeight="1">
      <c r="A857" s="1" t="s">
        <v>836</v>
      </c>
      <c r="B857" s="2" t="str">
        <f>IFERROR(__xludf.DUMMYFUNCTION("GOOGLETRANSLATE(A857, ""de"", ""uk"")"),"Будь ласка, запишіть номер свого рахунку.")</f>
        <v>Будь ласка, запишіть номер свого рахунку.</v>
      </c>
    </row>
    <row r="858" ht="15.75" customHeight="1">
      <c r="A858" s="1" t="s">
        <v>837</v>
      </c>
      <c r="B858" s="2" t="str">
        <f>IFERROR(__xludf.DUMMYFUNCTION("GOOGLETRANSLATE(A858, ""de"", ""uk"")"),"Номер мого банку вказано на формі.")</f>
        <v>Номер мого банку вказано на формі.</v>
      </c>
    </row>
    <row r="859" ht="15.75" customHeight="1">
      <c r="A859" s="1" t="s">
        <v>838</v>
      </c>
      <c r="B859" s="2" t="str">
        <f>IFERROR(__xludf.DUMMYFUNCTION("GOOGLETRANSLATE(A859, ""de"", ""uk"")"),"Плачу кредитною карткою.")</f>
        <v>Плачу кредитною карткою.</v>
      </c>
    </row>
    <row r="860" ht="15.75" customHeight="1">
      <c r="A860" s="1" t="s">
        <v>839</v>
      </c>
      <c r="B860" s="2" t="str">
        <f>IFERROR(__xludf.DUMMYFUNCTION("GOOGLETRANSLATE(A860, ""de"", ""uk"")"),"У мене в гаманці гроші")</f>
        <v>У мене в гаманці гроші</v>
      </c>
    </row>
    <row r="861" ht="15.75" customHeight="1">
      <c r="A861" s="1" t="s">
        <v>840</v>
      </c>
      <c r="B861" s="2" t="str">
        <f>IFERROR(__xludf.DUMMYFUNCTION("GOOGLETRANSLATE(A861, ""de"", ""uk"")"),"У Німеччині ви платите євро.")</f>
        <v>У Німеччині ви платите євро.</v>
      </c>
    </row>
    <row r="862" ht="15.75" customHeight="1">
      <c r="A862" s="1" t="s">
        <v>841</v>
      </c>
      <c r="B862" s="2" t="str">
        <f>IFERROR(__xludf.DUMMYFUNCTION("GOOGLETRANSLATE(A862, ""de"", ""uk"")"),"У вас залишилося десять центів?")</f>
        <v>У вас залишилося десять центів?</v>
      </c>
    </row>
    <row r="863" ht="15.75" customHeight="1">
      <c r="A863" s="1" t="s">
        <v>842</v>
      </c>
      <c r="B863" s="2" t="str">
        <f>IFERROR(__xludf.DUMMYFUNCTION("GOOGLETRANSLATE(A863, ""de"", ""uk"")"),"Мої гроші в банку.")</f>
        <v>Мої гроші в банку.</v>
      </c>
    </row>
    <row r="864" ht="15.75" customHeight="1">
      <c r="A864" s="1" t="s">
        <v>843</v>
      </c>
      <c r="B864" s="2" t="str">
        <f>IFERROR(__xludf.DUMMYFUNCTION("GOOGLETRANSLATE(A864, ""de"", ""uk"")"),"Мені подобається моя мама.")</f>
        <v>Мені подобається моя мама.</v>
      </c>
    </row>
    <row r="865" ht="15.75" customHeight="1">
      <c r="A865" s="1" t="s">
        <v>844</v>
      </c>
      <c r="B865" s="2" t="str">
        <f>IFERROR(__xludf.DUMMYFUNCTION("GOOGLETRANSLATE(A865, ""de"", ""uk"")"),"Більшість лимонів кислі.")</f>
        <v>Більшість лимонів кислі.</v>
      </c>
    </row>
    <row r="866" ht="15.75" customHeight="1">
      <c r="A866" s="1" t="s">
        <v>845</v>
      </c>
      <c r="B866" s="2" t="str">
        <f>IFERROR(__xludf.DUMMYFUNCTION("GOOGLETRANSLATE(A866, ""de"", ""uk"")"),"Звичайно, я хочу молока в каву.")</f>
        <v>Звичайно, я хочу молока в каву.</v>
      </c>
    </row>
    <row r="867" ht="15.75" customHeight="1">
      <c r="A867" s="1" t="s">
        <v>846</v>
      </c>
      <c r="B867" s="2" t="str">
        <f>IFERROR(__xludf.DUMMYFUNCTION("GOOGLETRANSLATE(A867, ""de"", ""uk"")"),"мені це не подобається")</f>
        <v>мені це не подобається</v>
      </c>
    </row>
    <row r="868" ht="15.75" customHeight="1">
      <c r="A868" s="1" t="s">
        <v>847</v>
      </c>
      <c r="B868" s="2" t="str">
        <f>IFERROR(__xludf.DUMMYFUNCTION("GOOGLETRANSLATE(A868, ""de"", ""uk"")"),"Я вип'ю ще кави.")</f>
        <v>Я вип'ю ще кави.</v>
      </c>
    </row>
    <row r="869" ht="15.75" customHeight="1">
      <c r="A869" s="1" t="s">
        <v>848</v>
      </c>
      <c r="B869" s="2" t="str">
        <f>IFERROR(__xludf.DUMMYFUNCTION("GOOGLETRANSLATE(A869, ""de"", ""uk"")"),"У мене лише два євро.")</f>
        <v>У мене лише два євро.</v>
      </c>
    </row>
    <row r="870" ht="15.75" customHeight="1">
      <c r="A870" s="1" t="s">
        <v>849</v>
      </c>
      <c r="B870" s="2" t="str">
        <f>IFERROR(__xludf.DUMMYFUNCTION("GOOGLETRANSLATE(A870, ""de"", ""uk"")"),"Супермаркет закритий.")</f>
        <v>Супермаркет закритий.</v>
      </c>
    </row>
    <row r="871" ht="15.75" customHeight="1">
      <c r="A871" s="1" t="s">
        <v>850</v>
      </c>
      <c r="B871" s="2" t="str">
        <f>IFERROR(__xludf.DUMMYFUNCTION("GOOGLETRANSLATE(A871, ""de"", ""uk"")"),"Флакон відкритий.")</f>
        <v>Флакон відкритий.</v>
      </c>
    </row>
    <row r="872" ht="15.75" customHeight="1">
      <c r="A872" s="1" t="s">
        <v>851</v>
      </c>
      <c r="B872" s="2" t="str">
        <f>IFERROR(__xludf.DUMMYFUNCTION("GOOGLETRANSLATE(A872, ""de"", ""uk"")"),"Я хочу бутильовану мінеральну воду.")</f>
        <v>Я хочу бутильовану мінеральну воду.</v>
      </c>
    </row>
    <row r="873" ht="15.75" customHeight="1">
      <c r="A873" s="1" t="s">
        <v>852</v>
      </c>
      <c r="B873" s="2" t="str">
        <f>IFERROR(__xludf.DUMMYFUNCTION("GOOGLETRANSLATE(A873, ""de"", ""uk"")"),"Від двох кілограмів помідори коштують лише два євро.")</f>
        <v>Від двох кілограмів помідори коштують лише два євро.</v>
      </c>
    </row>
    <row r="874" ht="15.75" customHeight="1">
      <c r="A874" s="1" t="s">
        <v>853</v>
      </c>
      <c r="B874" s="2" t="str">
        <f>IFERROR(__xludf.DUMMYFUNCTION("GOOGLETRANSLATE(A874, ""de"", ""uk"")"),"Але він не продає хліб.")</f>
        <v>Але він не продає хліб.</v>
      </c>
    </row>
    <row r="875" ht="15.75" customHeight="1">
      <c r="A875" s="1" t="s">
        <v>854</v>
      </c>
      <c r="B875" s="2" t="str">
        <f>IFERROR(__xludf.DUMMYFUNCTION("GOOGLETRANSLATE(A875, ""de"", ""uk"")"),"Локшина тут.")</f>
        <v>Локшина тут.</v>
      </c>
    </row>
    <row r="876" ht="15.75" customHeight="1">
      <c r="A876" s="1" t="s">
        <v>855</v>
      </c>
      <c r="B876" s="2" t="str">
        <f>IFERROR(__xludf.DUMMYFUNCTION("GOOGLETRANSLATE(A876, ""de"", ""uk"")"),"Вона бере два кілограми помідорів.")</f>
        <v>Вона бере два кілограми помідорів.</v>
      </c>
    </row>
    <row r="877" ht="15.75" customHeight="1">
      <c r="A877" s="1" t="s">
        <v>856</v>
      </c>
      <c r="B877" s="2" t="str">
        <f>IFERROR(__xludf.DUMMYFUNCTION("GOOGLETRANSLATE(A877, ""de"", ""uk"")"),"Це не важливо.")</f>
        <v>Це не важливо.</v>
      </c>
    </row>
    <row r="878" ht="15.75" customHeight="1">
      <c r="A878" s="1" t="s">
        <v>857</v>
      </c>
      <c r="B878" s="2" t="str">
        <f>IFERROR(__xludf.DUMMYFUNCTION("GOOGLETRANSLATE(A878, ""de"", ""uk"")"),"У мене з собою сумка.")</f>
        <v>У мене з собою сумка.</v>
      </c>
    </row>
    <row r="879" ht="15.75" customHeight="1">
      <c r="A879" s="1" t="s">
        <v>858</v>
      </c>
      <c r="B879" s="2" t="str">
        <f>IFERROR(__xludf.DUMMYFUNCTION("GOOGLETRANSLATE(A879, ""de"", ""uk"")"),"я ситий")</f>
        <v>я ситий</v>
      </c>
    </row>
    <row r="880" ht="15.75" customHeight="1">
      <c r="A880" s="1" t="s">
        <v>704</v>
      </c>
      <c r="B880" s="2" t="str">
        <f>IFERROR(__xludf.DUMMYFUNCTION("GOOGLETRANSLATE(A880, ""de"", ""uk"")"),"Лимон дуже кислий.")</f>
        <v>Лимон дуже кислий.</v>
      </c>
    </row>
    <row r="881" ht="15.75" customHeight="1">
      <c r="A881" s="1" t="s">
        <v>859</v>
      </c>
      <c r="B881" s="2" t="str">
        <f>IFERROR(__xludf.DUMMYFUNCTION("GOOGLETRANSLATE(A881, ""de"", ""uk"")"),"Полуниця занадто солодка.")</f>
        <v>Полуниця занадто солодка.</v>
      </c>
    </row>
    <row r="882" ht="15.75" customHeight="1">
      <c r="A882" s="1" t="s">
        <v>860</v>
      </c>
      <c r="B882" s="2" t="str">
        <f>IFERROR(__xludf.DUMMYFUNCTION("GOOGLETRANSLATE(A882, ""de"", ""uk"")"),"Суп не дуже гострий.")</f>
        <v>Суп не дуже гострий.</v>
      </c>
    </row>
    <row r="883" ht="15.75" customHeight="1">
      <c r="A883" s="1" t="s">
        <v>861</v>
      </c>
      <c r="B883" s="2" t="str">
        <f>IFERROR(__xludf.DUMMYFUNCTION("GOOGLETRANSLATE(A883, ""de"", ""uk"")"),"Я люблю свою їжу солону.")</f>
        <v>Я люблю свою їжу солону.</v>
      </c>
    </row>
    <row r="884" ht="15.75" customHeight="1">
      <c r="A884" s="1" t="s">
        <v>862</v>
      </c>
      <c r="B884" s="2" t="str">
        <f>IFERROR(__xludf.DUMMYFUNCTION("GOOGLETRANSLATE(A884, ""de"", ""uk"")"),"Мед дуже дешевий.")</f>
        <v>Мед дуже дешевий.</v>
      </c>
    </row>
    <row r="885" ht="15.75" customHeight="1">
      <c r="A885" s="1" t="s">
        <v>863</v>
      </c>
      <c r="B885" s="2" t="str">
        <f>IFERROR(__xludf.DUMMYFUNCTION("GOOGLETRANSLATE(A885, ""de"", ""uk"")"),"Хліб у пекарні дорогий.")</f>
        <v>Хліб у пекарні дорогий.</v>
      </c>
    </row>
    <row r="886" ht="15.75" customHeight="1">
      <c r="A886" s="1" t="s">
        <v>678</v>
      </c>
      <c r="B886" s="2" t="str">
        <f>IFERROR(__xludf.DUMMYFUNCTION("GOOGLETRANSLATE(A886, ""de"", ""uk"")"),"Я плачу готівкою.")</f>
        <v>Я плачу готівкою.</v>
      </c>
    </row>
    <row r="887" ht="15.75" customHeight="1">
      <c r="A887" s="1" t="s">
        <v>864</v>
      </c>
      <c r="B887" s="2" t="str">
        <f>IFERROR(__xludf.DUMMYFUNCTION("GOOGLETRANSLATE(A887, ""de"", ""uk"")"),"Молоко в супермаркеті дешеве.")</f>
        <v>Молоко в супермаркеті дешеве.</v>
      </c>
    </row>
    <row r="888" ht="15.75" customHeight="1">
      <c r="A888" s="1" t="s">
        <v>865</v>
      </c>
      <c r="B888" s="2" t="str">
        <f>IFERROR(__xludf.DUMMYFUNCTION("GOOGLETRANSLATE(A888, ""de"", ""uk"")"),"Будь ласка, кілограм свіжих помідорів.")</f>
        <v>Будь ласка, кілограм свіжих помідорів.</v>
      </c>
    </row>
    <row r="889" ht="15.75" customHeight="1">
      <c r="A889" s="1" t="s">
        <v>866</v>
      </c>
      <c r="B889" s="2" t="str">
        <f>IFERROR(__xludf.DUMMYFUNCTION("GOOGLETRANSLATE(A889, ""de"", ""uk"")"),"червоний")</f>
        <v>червоний</v>
      </c>
    </row>
    <row r="890" ht="15.75" customHeight="1">
      <c r="A890" s="1" t="s">
        <v>867</v>
      </c>
      <c r="B890" s="2" t="str">
        <f>IFERROR(__xludf.DUMMYFUNCTION("GOOGLETRANSLATE(A890, ""de"", ""uk"")"),"жовтий")</f>
        <v>жовтий</v>
      </c>
    </row>
    <row r="891" ht="15.75" customHeight="1">
      <c r="A891" s="1" t="s">
        <v>868</v>
      </c>
      <c r="B891" s="2" t="str">
        <f>IFERROR(__xludf.DUMMYFUNCTION("GOOGLETRANSLATE(A891, ""de"", ""uk"")"),"блакитний")</f>
        <v>блакитний</v>
      </c>
    </row>
    <row r="892" ht="15.75" customHeight="1">
      <c r="A892" s="1" t="s">
        <v>869</v>
      </c>
      <c r="B892" s="2" t="str">
        <f>IFERROR(__xludf.DUMMYFUNCTION("GOOGLETRANSLATE(A892, ""de"", ""uk"")"),"зелений")</f>
        <v>зелений</v>
      </c>
    </row>
    <row r="893" ht="15.75" customHeight="1">
      <c r="A893" s="1" t="s">
        <v>870</v>
      </c>
      <c r="B893" s="2" t="str">
        <f>IFERROR(__xludf.DUMMYFUNCTION("GOOGLETRANSLATE(A893, ""de"", ""uk"")"),"коричневий")</f>
        <v>коричневий</v>
      </c>
    </row>
    <row r="894" ht="15.75" customHeight="1">
      <c r="A894" s="1" t="s">
        <v>871</v>
      </c>
      <c r="B894" s="2" t="str">
        <f>IFERROR(__xludf.DUMMYFUNCTION("GOOGLETRANSLATE(A894, ""de"", ""uk"")"),"сірий")</f>
        <v>сірий</v>
      </c>
    </row>
    <row r="895" ht="15.75" customHeight="1">
      <c r="A895" s="1" t="s">
        <v>872</v>
      </c>
      <c r="B895" s="2" t="str">
        <f>IFERROR(__xludf.DUMMYFUNCTION("GOOGLETRANSLATE(A895, ""de"", ""uk"")"),"чорний")</f>
        <v>чорний</v>
      </c>
    </row>
    <row r="896" ht="15.75" customHeight="1">
      <c r="A896" s="1" t="s">
        <v>873</v>
      </c>
      <c r="B896" s="2" t="str">
        <f>IFERROR(__xludf.DUMMYFUNCTION("GOOGLETRANSLATE(A896, ""de"", ""uk"")"),"білий")</f>
        <v>білий</v>
      </c>
    </row>
    <row r="897" ht="15.75" customHeight="1">
      <c r="A897" s="1" t="s">
        <v>874</v>
      </c>
      <c r="B897" s="2" t="str">
        <f>IFERROR(__xludf.DUMMYFUNCTION("GOOGLETRANSLATE(A897, ""de"", ""uk"")"),"рожевий")</f>
        <v>рожевий</v>
      </c>
    </row>
    <row r="898" ht="15.75" customHeight="1">
      <c r="A898" s="1" t="s">
        <v>875</v>
      </c>
      <c r="B898" s="2" t="str">
        <f>IFERROR(__xludf.DUMMYFUNCTION("GOOGLETRANSLATE(A898, ""de"", ""uk"")"),"помаранчевий")</f>
        <v>помаранчевий</v>
      </c>
    </row>
    <row r="899" ht="15.75" customHeight="1">
      <c r="A899" s="1" t="s">
        <v>876</v>
      </c>
      <c r="B899" s="2" t="str">
        <f>IFERROR(__xludf.DUMMYFUNCTION("GOOGLETRANSLATE(A899, ""de"", ""uk"")"),"фіолетовий")</f>
        <v>фіолетовий</v>
      </c>
    </row>
    <row r="900" ht="15.75" customHeight="1">
      <c r="A900" s="1" t="s">
        <v>877</v>
      </c>
      <c r="B900" s="2" t="str">
        <f>IFERROR(__xludf.DUMMYFUNCTION("GOOGLETRANSLATE(A900, ""de"", ""uk"")"),"короткий")</f>
        <v>короткий</v>
      </c>
    </row>
    <row r="901" ht="15.75" customHeight="1">
      <c r="A901" s="1" t="s">
        <v>878</v>
      </c>
      <c r="B901" s="2" t="str">
        <f>IFERROR(__xludf.DUMMYFUNCTION("GOOGLETRANSLATE(A901, ""de"", ""uk"")"),"навіть")</f>
        <v>навіть</v>
      </c>
    </row>
    <row r="902" ht="15.75" customHeight="1">
      <c r="A902" s="1" t="s">
        <v>879</v>
      </c>
      <c r="B902" s="2" t="str">
        <f>IFERROR(__xludf.DUMMYFUNCTION("GOOGLETRANSLATE(A902, ""de"", ""uk"")"),"різні")</f>
        <v>різні</v>
      </c>
    </row>
    <row r="903" ht="15.75" customHeight="1">
      <c r="A903" s="1" t="s">
        <v>880</v>
      </c>
      <c r="B903" s="2" t="str">
        <f>IFERROR(__xludf.DUMMYFUNCTION("GOOGLETRANSLATE(A903, ""de"", ""uk"")"),"новий")</f>
        <v>новий</v>
      </c>
    </row>
    <row r="904" ht="15.75" customHeight="1">
      <c r="A904" s="1" t="s">
        <v>881</v>
      </c>
      <c r="B904" s="2" t="str">
        <f>IFERROR(__xludf.DUMMYFUNCTION("GOOGLETRANSLATE(A904, ""de"", ""uk"")"),"старий")</f>
        <v>старий</v>
      </c>
    </row>
    <row r="905" ht="15.75" customHeight="1">
      <c r="A905" s="1" t="s">
        <v>882</v>
      </c>
      <c r="B905" s="2" t="str">
        <f>IFERROR(__xludf.DUMMYFUNCTION("GOOGLETRANSLATE(A905, ""de"", ""uk"")"),"недорогий")</f>
        <v>недорогий</v>
      </c>
    </row>
    <row r="906" ht="15.75" customHeight="1">
      <c r="A906" s="1" t="s">
        <v>883</v>
      </c>
      <c r="B906" s="2" t="str">
        <f>IFERROR(__xludf.DUMMYFUNCTION("GOOGLETRANSLATE(A906, ""de"", ""uk"")"),"зокрема")</f>
        <v>зокрема</v>
      </c>
    </row>
    <row r="907" ht="15.75" customHeight="1">
      <c r="A907" s="1" t="s">
        <v>884</v>
      </c>
      <c r="B907" s="2" t="str">
        <f>IFERROR(__xludf.DUMMYFUNCTION("GOOGLETRANSLATE(A907, ""de"", ""uk"")"),"м'який")</f>
        <v>м'який</v>
      </c>
    </row>
    <row r="908" ht="15.75" customHeight="1">
      <c r="A908" s="1" t="s">
        <v>885</v>
      </c>
      <c r="B908" s="2" t="str">
        <f>IFERROR(__xludf.DUMMYFUNCTION("GOOGLETRANSLATE(A908, ""de"", ""uk"")"),"справжній")</f>
        <v>справжній</v>
      </c>
    </row>
    <row r="909" ht="15.75" customHeight="1">
      <c r="A909" s="1" t="s">
        <v>886</v>
      </c>
      <c r="B909" s="2" t="str">
        <f>IFERROR(__xludf.DUMMYFUNCTION("GOOGLETRANSLATE(A909, ""de"", ""uk"")"),"роздягатися")</f>
        <v>роздягатися</v>
      </c>
    </row>
    <row r="910" ht="15.75" customHeight="1">
      <c r="A910" s="1" t="s">
        <v>887</v>
      </c>
      <c r="B910" s="2" t="str">
        <f>IFERROR(__xludf.DUMMYFUNCTION("GOOGLETRANSLATE(A910, ""de"", ""uk"")"),"одягатися")</f>
        <v>одягатися</v>
      </c>
    </row>
    <row r="911" ht="15.75" customHeight="1">
      <c r="A911" s="1" t="s">
        <v>888</v>
      </c>
      <c r="B911" s="2" t="str">
        <f>IFERROR(__xludf.DUMMYFUNCTION("GOOGLETRANSLATE(A911, ""de"", ""uk"")"),"рекомендую")</f>
        <v>рекомендую</v>
      </c>
    </row>
    <row r="912" ht="15.75" customHeight="1">
      <c r="A912" s="1" t="s">
        <v>889</v>
      </c>
      <c r="B912" s="2" t="str">
        <f>IFERROR(__xludf.DUMMYFUNCTION("GOOGLETRANSLATE(A912, ""de"", ""uk"")"),"підходить")</f>
        <v>підходить</v>
      </c>
    </row>
    <row r="913" ht="15.75" customHeight="1">
      <c r="A913" s="1" t="s">
        <v>890</v>
      </c>
      <c r="B913" s="2" t="str">
        <f>IFERROR(__xludf.DUMMYFUNCTION("GOOGLETRANSLATE(A913, ""de"", ""uk"")"),"порівняти")</f>
        <v>порівняти</v>
      </c>
    </row>
    <row r="914" ht="15.75" customHeight="1">
      <c r="A914" s="1" t="s">
        <v>891</v>
      </c>
      <c r="B914" s="2" t="str">
        <f>IFERROR(__xludf.DUMMYFUNCTION("GOOGLETRANSLATE(A914, ""de"", ""uk"")"),"належать")</f>
        <v>належать</v>
      </c>
    </row>
    <row r="915" ht="15.75" customHeight="1">
      <c r="A915" s="1" t="s">
        <v>892</v>
      </c>
      <c r="B915" s="2" t="str">
        <f>IFERROR(__xludf.DUMMYFUNCTION("GOOGLETRANSLATE(A915, ""de"", ""uk"")"),"нести")</f>
        <v>нести</v>
      </c>
    </row>
    <row r="916" ht="15.75" customHeight="1">
      <c r="A916" s="1" t="s">
        <v>893</v>
      </c>
      <c r="B916" s="2" t="str">
        <f>IFERROR(__xludf.DUMMYFUNCTION("GOOGLETRANSLATE(A916, ""de"", ""uk"")"),"впав")</f>
        <v>впав</v>
      </c>
    </row>
    <row r="917" ht="15.75" customHeight="1">
      <c r="A917" s="1" t="s">
        <v>894</v>
      </c>
      <c r="B917" s="2" t="str">
        <f>IFERROR(__xludf.DUMMYFUNCTION("GOOGLETRANSLATE(A917, ""de"", ""uk"")"),"витрачати")</f>
        <v>витрачати</v>
      </c>
    </row>
    <row r="918" ht="15.75" customHeight="1">
      <c r="A918" s="1" t="s">
        <v>895</v>
      </c>
      <c r="B918" s="2" t="str">
        <f>IFERROR(__xludf.DUMMYFUNCTION("GOOGLETRANSLATE(A918, ""de"", ""uk"")"),"потреба")</f>
        <v>потреба</v>
      </c>
    </row>
    <row r="919" ht="15.75" customHeight="1">
      <c r="A919" s="1" t="s">
        <v>896</v>
      </c>
      <c r="B919" s="2" t="str">
        <f>IFERROR(__xludf.DUMMYFUNCTION("GOOGLETRANSLATE(A919, ""de"", ""uk"")"),"одяг")</f>
        <v>одяг</v>
      </c>
    </row>
    <row r="920" ht="15.75" customHeight="1">
      <c r="A920" s="1" t="s">
        <v>897</v>
      </c>
      <c r="B920" s="2" t="str">
        <f>IFERROR(__xludf.DUMMYFUNCTION("GOOGLETRANSLATE(A920, ""de"", ""uk"")"),"штани")</f>
        <v>штани</v>
      </c>
    </row>
    <row r="921" ht="15.75" customHeight="1">
      <c r="A921" s="1" t="s">
        <v>898</v>
      </c>
      <c r="B921" s="2" t="str">
        <f>IFERROR(__xludf.DUMMYFUNCTION("GOOGLETRANSLATE(A921, ""de"", ""uk"")"),"спідниця")</f>
        <v>спідниця</v>
      </c>
    </row>
    <row r="922" ht="15.75" customHeight="1">
      <c r="A922" s="1" t="s">
        <v>899</v>
      </c>
      <c r="B922" s="2" t="str">
        <f>IFERROR(__xludf.DUMMYFUNCTION("GOOGLETRANSLATE(A922, ""de"", ""uk"")"),"плаття")</f>
        <v>плаття</v>
      </c>
    </row>
    <row r="923" ht="15.75" customHeight="1">
      <c r="A923" s="1" t="s">
        <v>900</v>
      </c>
      <c r="B923" s="2" t="str">
        <f>IFERROR(__xludf.DUMMYFUNCTION("GOOGLETRANSLATE(A923, ""de"", ""uk"")"),"блузка")</f>
        <v>блузка</v>
      </c>
    </row>
    <row r="924" ht="15.75" customHeight="1">
      <c r="A924" s="1" t="s">
        <v>901</v>
      </c>
      <c r="B924" s="2" t="str">
        <f>IFERROR(__xludf.DUMMYFUNCTION("GOOGLETRANSLATE(A924, ""de"", ""uk"")"),"сорочка")</f>
        <v>сорочка</v>
      </c>
    </row>
    <row r="925" ht="15.75" customHeight="1">
      <c r="A925" s="1" t="s">
        <v>902</v>
      </c>
      <c r="B925" s="2" t="str">
        <f>IFERROR(__xludf.DUMMYFUNCTION("GOOGLETRANSLATE(A925, ""de"", ""uk"")"),"костюм")</f>
        <v>костюм</v>
      </c>
    </row>
    <row r="926" ht="15.75" customHeight="1">
      <c r="A926" s="1" t="s">
        <v>903</v>
      </c>
      <c r="B926" s="2" t="str">
        <f>IFERROR(__xludf.DUMMYFUNCTION("GOOGLETRANSLATE(A926, ""de"", ""uk"")"),"краватка")</f>
        <v>краватка</v>
      </c>
    </row>
    <row r="927" ht="15.75" customHeight="1">
      <c r="A927" s="1" t="s">
        <v>904</v>
      </c>
      <c r="B927" s="2" t="str">
        <f>IFERROR(__xludf.DUMMYFUNCTION("GOOGLETRANSLATE(A927, ""de"", ""uk"")"),"костюм")</f>
        <v>костюм</v>
      </c>
    </row>
    <row r="928" ht="15.75" customHeight="1">
      <c r="A928" s="1" t="s">
        <v>905</v>
      </c>
      <c r="B928" s="2" t="str">
        <f>IFERROR(__xludf.DUMMYFUNCTION("GOOGLETRANSLATE(A928, ""de"", ""uk"")"),"светр")</f>
        <v>светр</v>
      </c>
    </row>
    <row r="929" ht="15.75" customHeight="1">
      <c r="A929" s="1" t="s">
        <v>906</v>
      </c>
      <c r="B929" s="2" t="str">
        <f>IFERROR(__xludf.DUMMYFUNCTION("GOOGLETRANSLATE(A929, ""de"", ""uk"")"),"жилет")</f>
        <v>жилет</v>
      </c>
    </row>
    <row r="930" ht="15.75" customHeight="1">
      <c r="A930" s="1" t="s">
        <v>907</v>
      </c>
      <c r="B930" s="2" t="str">
        <f>IFERROR(__xludf.DUMMYFUNCTION("GOOGLETRANSLATE(A930, ""de"", ""uk"")"),"футболка")</f>
        <v>футболка</v>
      </c>
    </row>
    <row r="931" ht="15.75" customHeight="1">
      <c r="A931" s="1" t="s">
        <v>908</v>
      </c>
      <c r="B931" s="2" t="str">
        <f>IFERROR(__xludf.DUMMYFUNCTION("GOOGLETRANSLATE(A931, ""de"", ""uk"")"),"джинси")</f>
        <v>джинси</v>
      </c>
    </row>
    <row r="932" ht="15.75" customHeight="1">
      <c r="A932" s="1" t="s">
        <v>909</v>
      </c>
      <c r="B932" s="2" t="str">
        <f>IFERROR(__xludf.DUMMYFUNCTION("GOOGLETRANSLATE(A932, ""de"", ""uk"")"),"піджак")</f>
        <v>піджак</v>
      </c>
    </row>
    <row r="933" ht="15.75" customHeight="1">
      <c r="A933" s="1" t="s">
        <v>910</v>
      </c>
      <c r="B933" s="2" t="str">
        <f>IFERROR(__xludf.DUMMYFUNCTION("GOOGLETRANSLATE(A933, ""de"", ""uk"")"),"пальто")</f>
        <v>пальто</v>
      </c>
    </row>
    <row r="934" ht="15.75" customHeight="1">
      <c r="A934" s="1" t="s">
        <v>911</v>
      </c>
      <c r="B934" s="2" t="str">
        <f>IFERROR(__xludf.DUMMYFUNCTION("GOOGLETRANSLATE(A934, ""de"", ""uk"")"),"капелюх")</f>
        <v>капелюх</v>
      </c>
    </row>
    <row r="935" ht="15.75" customHeight="1">
      <c r="A935" s="1" t="s">
        <v>912</v>
      </c>
      <c r="B935" s="2" t="str">
        <f>IFERROR(__xludf.DUMMYFUNCTION("GOOGLETRANSLATE(A935, ""de"", ""uk"")"),"рукавичка")</f>
        <v>рукавичка</v>
      </c>
    </row>
    <row r="936" ht="15.75" customHeight="1">
      <c r="A936" s="1" t="s">
        <v>913</v>
      </c>
      <c r="B936" s="2" t="str">
        <f>IFERROR(__xludf.DUMMYFUNCTION("GOOGLETRANSLATE(A936, ""de"", ""uk"")"),"шарф")</f>
        <v>шарф</v>
      </c>
    </row>
    <row r="937" ht="15.75" customHeight="1">
      <c r="A937" s="1" t="s">
        <v>914</v>
      </c>
      <c r="B937" s="2" t="str">
        <f>IFERROR(__xludf.DUMMYFUNCTION("GOOGLETRANSLATE(A937, ""de"", ""uk"")"),"хустка")</f>
        <v>хустка</v>
      </c>
    </row>
    <row r="938" ht="15.75" customHeight="1">
      <c r="A938" s="1" t="s">
        <v>915</v>
      </c>
      <c r="B938" s="2" t="str">
        <f>IFERROR(__xludf.DUMMYFUNCTION("GOOGLETRANSLATE(A938, ""de"", ""uk"")"),"пояс")</f>
        <v>пояс</v>
      </c>
    </row>
    <row r="939" ht="15.75" customHeight="1">
      <c r="A939" s="1" t="s">
        <v>916</v>
      </c>
      <c r="B939" s="2" t="str">
        <f>IFERROR(__xludf.DUMMYFUNCTION("GOOGLETRANSLATE(A939, ""de"", ""uk"")"),"взуття")</f>
        <v>взуття</v>
      </c>
    </row>
    <row r="940" ht="15.75" customHeight="1">
      <c r="A940" s="1" t="s">
        <v>917</v>
      </c>
      <c r="B940" s="2" t="str">
        <f>IFERROR(__xludf.DUMMYFUNCTION("GOOGLETRANSLATE(A940, ""de"", ""uk"")"),"черевик")</f>
        <v>черевик</v>
      </c>
    </row>
    <row r="941" ht="15.75" customHeight="1">
      <c r="A941" s="1" t="s">
        <v>918</v>
      </c>
      <c r="B941" s="2" t="str">
        <f>IFERROR(__xludf.DUMMYFUNCTION("GOOGLETRANSLATE(A941, ""de"", ""uk"")"),"носок")</f>
        <v>носок</v>
      </c>
    </row>
    <row r="942" ht="15.75" customHeight="1">
      <c r="A942" s="1" t="s">
        <v>919</v>
      </c>
      <c r="B942" s="2" t="str">
        <f>IFERROR(__xludf.DUMMYFUNCTION("GOOGLETRANSLATE(A942, ""de"", ""uk"")"),"нижня сорочка")</f>
        <v>нижня сорочка</v>
      </c>
    </row>
    <row r="943" ht="15.75" customHeight="1">
      <c r="A943" s="1" t="s">
        <v>920</v>
      </c>
      <c r="B943" s="2" t="str">
        <f>IFERROR(__xludf.DUMMYFUNCTION("GOOGLETRANSLATE(A943, ""de"", ""uk"")"),"труси")</f>
        <v>труси</v>
      </c>
    </row>
    <row r="944" ht="15.75" customHeight="1">
      <c r="A944" s="1" t="s">
        <v>921</v>
      </c>
      <c r="B944" s="2" t="str">
        <f>IFERROR(__xludf.DUMMYFUNCTION("GOOGLETRANSLATE(A944, ""de"", ""uk"")"),"колір")</f>
        <v>колір</v>
      </c>
    </row>
    <row r="945" ht="15.75" customHeight="1">
      <c r="A945" s="1" t="s">
        <v>922</v>
      </c>
      <c r="B945" s="2" t="str">
        <f>IFERROR(__xludf.DUMMYFUNCTION("GOOGLETRANSLATE(A945, ""de"", ""uk"")"),"кільце")</f>
        <v>кільце</v>
      </c>
    </row>
    <row r="946" ht="15.75" customHeight="1">
      <c r="A946" s="1" t="s">
        <v>923</v>
      </c>
      <c r="B946" s="2" t="str">
        <f>IFERROR(__xludf.DUMMYFUNCTION("GOOGLETRANSLATE(A946, ""de"", ""uk"")"),"якість")</f>
        <v>якість</v>
      </c>
    </row>
    <row r="947" ht="15.75" customHeight="1">
      <c r="A947" s="1" t="s">
        <v>924</v>
      </c>
      <c r="B947" s="2" t="str">
        <f>IFERROR(__xludf.DUMMYFUNCTION("GOOGLETRANSLATE(A947, ""de"", ""uk"")"),"універмаг")</f>
        <v>універмаг</v>
      </c>
    </row>
    <row r="948" ht="15.75" customHeight="1">
      <c r="A948" s="1" t="s">
        <v>925</v>
      </c>
      <c r="B948" s="2" t="str">
        <f>IFERROR(__xludf.DUMMYFUNCTION("GOOGLETRANSLATE(A948, ""de"", ""uk"")"),"знижка")</f>
        <v>знижка</v>
      </c>
    </row>
    <row r="949" ht="15.75" customHeight="1">
      <c r="A949" s="1" t="s">
        <v>926</v>
      </c>
      <c r="B949" s="2" t="str">
        <f>IFERROR(__xludf.DUMMYFUNCTION("GOOGLETRANSLATE(A949, ""de"", ""uk"")"),"спеціальна пропозиція")</f>
        <v>спеціальна пропозиція</v>
      </c>
    </row>
    <row r="950" ht="15.75" customHeight="1">
      <c r="A950" s="1" t="s">
        <v>927</v>
      </c>
      <c r="B950" s="2" t="str">
        <f>IFERROR(__xludf.DUMMYFUNCTION("GOOGLETRANSLATE(A950, ""de"", ""uk"")"),"кожен")</f>
        <v>кожен</v>
      </c>
    </row>
    <row r="951" ht="15.75" customHeight="1">
      <c r="A951" s="1" t="s">
        <v>928</v>
      </c>
      <c r="B951" s="2" t="str">
        <f>IFERROR(__xludf.DUMMYFUNCTION("GOOGLETRANSLATE(A951, ""de"", ""uk"")"),"останній")</f>
        <v>останній</v>
      </c>
    </row>
    <row r="952" ht="15.75" customHeight="1">
      <c r="A952" s="1" t="s">
        <v>929</v>
      </c>
      <c r="B952" s="2" t="str">
        <f>IFERROR(__xludf.DUMMYFUNCTION("GOOGLETRANSLATE(A952, ""de"", ""uk"")"),"тому що")</f>
        <v>тому що</v>
      </c>
    </row>
    <row r="953" ht="15.75" customHeight="1">
      <c r="A953" s="1" t="s">
        <v>930</v>
      </c>
      <c r="B953" s="2" t="str">
        <f>IFERROR(__xludf.DUMMYFUNCTION("GOOGLETRANSLATE(A953, ""de"", ""uk"")"),"деякі")</f>
        <v>деякі</v>
      </c>
    </row>
    <row r="954" ht="15.75" customHeight="1">
      <c r="A954" s="1" t="s">
        <v>931</v>
      </c>
      <c r="B954" s="2" t="str">
        <f>IFERROR(__xludf.DUMMYFUNCTION("GOOGLETRANSLATE(A954, ""de"", ""uk"")"),"обидва")</f>
        <v>обидва</v>
      </c>
    </row>
    <row r="955" ht="15.75" customHeight="1">
      <c r="A955" s="1" t="s">
        <v>932</v>
      </c>
      <c r="B955" s="2" t="str">
        <f>IFERROR(__xludf.DUMMYFUNCTION("GOOGLETRANSLATE(A955, ""de"", ""uk"")"),"декілька")</f>
        <v>декілька</v>
      </c>
    </row>
    <row r="956" ht="15.75" customHeight="1">
      <c r="A956" s="1" t="s">
        <v>933</v>
      </c>
      <c r="B956" s="2" t="str">
        <f>IFERROR(__xludf.DUMMYFUNCTION("GOOGLETRANSLATE(A956, ""de"", ""uk"")"),"для цього")</f>
        <v>для цього</v>
      </c>
    </row>
    <row r="957" ht="15.75" customHeight="1">
      <c r="A957" s="1" t="s">
        <v>934</v>
      </c>
      <c r="B957" s="2" t="str">
        <f>IFERROR(__xludf.DUMMYFUNCTION("GOOGLETRANSLATE(A957, ""de"", ""uk"")"),"власні")</f>
        <v>власні</v>
      </c>
    </row>
    <row r="958" ht="15.75" customHeight="1">
      <c r="A958" s="1" t="s">
        <v>935</v>
      </c>
      <c r="B958" s="2" t="str">
        <f>IFERROR(__xludf.DUMMYFUNCTION("GOOGLETRANSLATE(A958, ""de"", ""uk"")"),"погодився")</f>
        <v>погодився</v>
      </c>
    </row>
    <row r="959" ht="15.75" customHeight="1">
      <c r="A959" s="1" t="s">
        <v>936</v>
      </c>
      <c r="B959" s="2" t="str">
        <f>IFERROR(__xludf.DUMMYFUNCTION("GOOGLETRANSLATE(A959, ""de"", ""uk"")"),"пара")</f>
        <v>пара</v>
      </c>
    </row>
    <row r="960" ht="15.75" customHeight="1">
      <c r="A960" s="1" t="s">
        <v>937</v>
      </c>
      <c r="B960" s="2" t="str">
        <f>IFERROR(__xludf.DUMMYFUNCTION("GOOGLETRANSLATE(A960, ""de"", ""uk"")"),"до")</f>
        <v>до</v>
      </c>
    </row>
    <row r="961" ht="15.75" customHeight="1">
      <c r="A961" s="1" t="s">
        <v>938</v>
      </c>
      <c r="B961" s="2" t="str">
        <f>IFERROR(__xludf.DUMMYFUNCTION("GOOGLETRANSLATE(A961, ""de"", ""uk"")"),"деякі")</f>
        <v>деякі</v>
      </c>
    </row>
    <row r="962" ht="15.75" customHeight="1">
      <c r="A962" s="1" t="s">
        <v>939</v>
      </c>
      <c r="B962" s="2" t="str">
        <f>IFERROR(__xludf.DUMMYFUNCTION("GOOGLETRANSLATE(A962, ""de"", ""uk"")"),"без")</f>
        <v>без</v>
      </c>
    </row>
    <row r="963" ht="15.75" customHeight="1">
      <c r="A963" s="1" t="s">
        <v>940</v>
      </c>
      <c r="B963" s="2" t="str">
        <f>IFERROR(__xludf.DUMMYFUNCTION("GOOGLETRANSLATE(A963, ""de"", ""uk"")"),"швидше")</f>
        <v>швидше</v>
      </c>
    </row>
    <row r="964" ht="15.75" customHeight="1">
      <c r="A964" s="1" t="s">
        <v>941</v>
      </c>
      <c r="B964" s="2" t="str">
        <f>IFERROR(__xludf.DUMMYFUNCTION("GOOGLETRANSLATE(A964, ""de"", ""uk"")"),"Дитина роздягається.")</f>
        <v>Дитина роздягається.</v>
      </c>
    </row>
    <row r="965" ht="15.75" customHeight="1">
      <c r="A965" s="1" t="s">
        <v>942</v>
      </c>
      <c r="B965" s="2" t="str">
        <f>IFERROR(__xludf.DUMMYFUNCTION("GOOGLETRANSLATE(A965, ""de"", ""uk"")"),"Чоловік одягається.")</f>
        <v>Чоловік одягається.</v>
      </c>
    </row>
    <row r="966" ht="15.75" customHeight="1">
      <c r="A966" s="1" t="s">
        <v>943</v>
      </c>
      <c r="B966" s="2" t="str">
        <f>IFERROR(__xludf.DUMMYFUNCTION("GOOGLETRANSLATE(A966, ""de"", ""uk"")"),"Продавець рекомендує червону куртку.")</f>
        <v>Продавець рекомендує червону куртку.</v>
      </c>
    </row>
    <row r="967" ht="15.75" customHeight="1">
      <c r="A967" s="1" t="s">
        <v>944</v>
      </c>
      <c r="B967" s="2" t="str">
        <f>IFERROR(__xludf.DUMMYFUNCTION("GOOGLETRANSLATE(A967, ""de"", ""uk"")"),"Чи підходить вам взуття?")</f>
        <v>Чи підходить вам взуття?</v>
      </c>
    </row>
    <row r="968" ht="15.75" customHeight="1">
      <c r="A968" s="1" t="s">
        <v>945</v>
      </c>
      <c r="B968" s="2" t="str">
        <f>IFERROR(__xludf.DUMMYFUNCTION("GOOGLETRANSLATE(A968, ""de"", ""uk"")"),"Жінка порівнює акційні пропозиції.")</f>
        <v>Жінка порівнює акційні пропозиції.</v>
      </c>
    </row>
    <row r="969" ht="15.75" customHeight="1">
      <c r="A969" s="1" t="s">
        <v>946</v>
      </c>
      <c r="B969" s="2" t="str">
        <f>IFERROR(__xludf.DUMMYFUNCTION("GOOGLETRANSLATE(A969, ""de"", ""uk"")"),"Шкарпетки належать моїй дитині.")</f>
        <v>Шкарпетки належать моїй дитині.</v>
      </c>
    </row>
    <row r="970" ht="15.75" customHeight="1">
      <c r="A970" s="1" t="s">
        <v>947</v>
      </c>
      <c r="B970" s="2" t="str">
        <f>IFERROR(__xludf.DUMMYFUNCTION("GOOGLETRANSLATE(A970, ""de"", ""uk"")"),"На ній червона футболка і коротка спідниця.")</f>
        <v>На ній червона футболка і коротка спідниця.</v>
      </c>
    </row>
    <row r="971" ht="15.75" customHeight="1">
      <c r="A971" s="1" t="s">
        <v>948</v>
      </c>
      <c r="B971" s="2" t="str">
        <f>IFERROR(__xludf.DUMMYFUNCTION("GOOGLETRANSLATE(A971, ""de"", ""uk"")"),"Тобі подобається мій светр?")</f>
        <v>Тобі подобається мій светр?</v>
      </c>
    </row>
    <row r="972" ht="15.75" customHeight="1">
      <c r="A972" s="1" t="s">
        <v>949</v>
      </c>
      <c r="B972" s="2" t="str">
        <f>IFERROR(__xludf.DUMMYFUNCTION("GOOGLETRANSLATE(A972, ""de"", ""uk"")"),"Я витрачаю лише двадцять євро.")</f>
        <v>Я витрачаю лише двадцять євро.</v>
      </c>
    </row>
    <row r="973" ht="15.75" customHeight="1">
      <c r="A973" s="1" t="s">
        <v>950</v>
      </c>
      <c r="B973" s="2" t="str">
        <f>IFERROR(__xludf.DUMMYFUNCTION("GOOGLETRANSLATE(A973, ""de"", ""uk"")"),"Вам також потрібна сорочка?")</f>
        <v>Вам також потрібна сорочка?</v>
      </c>
    </row>
    <row r="974" ht="15.75" customHeight="1">
      <c r="A974" s="1" t="s">
        <v>951</v>
      </c>
      <c r="B974" s="2" t="str">
        <f>IFERROR(__xludf.DUMMYFUNCTION("GOOGLETRANSLATE(A974, ""de"", ""uk"")"),"Ти носиш гарний одяг.")</f>
        <v>Ти носиш гарний одяг.</v>
      </c>
    </row>
    <row r="975" ht="15.75" customHeight="1">
      <c r="A975" s="1" t="s">
        <v>952</v>
      </c>
      <c r="B975" s="2" t="str">
        <f>IFERROR(__xludf.DUMMYFUNCTION("GOOGLETRANSLATE(A975, ""de"", ""uk"")"),"Будь ласка, зніміть штани.")</f>
        <v>Будь ласка, зніміть штани.</v>
      </c>
    </row>
    <row r="976" ht="15.75" customHeight="1">
      <c r="A976" s="1" t="s">
        <v>953</v>
      </c>
      <c r="B976" s="2" t="str">
        <f>IFERROR(__xludf.DUMMYFUNCTION("GOOGLETRANSLATE(A976, ""de"", ""uk"")"),"Жінка одягає іншу спідницю.")</f>
        <v>Жінка одягає іншу спідницю.</v>
      </c>
    </row>
    <row r="977" ht="15.75" customHeight="1">
      <c r="A977" s="1" t="s">
        <v>954</v>
      </c>
      <c r="B977" s="2" t="str">
        <f>IFERROR(__xludf.DUMMYFUNCTION("GOOGLETRANSLATE(A977, ""de"", ""uk"")"),"Твоя сукня червона.")</f>
        <v>Твоя сукня червона.</v>
      </c>
    </row>
    <row r="978" ht="15.75" customHeight="1">
      <c r="A978" s="1" t="s">
        <v>955</v>
      </c>
      <c r="B978" s="2" t="str">
        <f>IFERROR(__xludf.DUMMYFUNCTION("GOOGLETRANSLATE(A978, ""de"", ""uk"")"),"Твоя блузка дуже дорога.")</f>
        <v>Твоя блузка дуже дорога.</v>
      </c>
    </row>
    <row r="979" ht="15.75" customHeight="1">
      <c r="A979" s="1" t="s">
        <v>956</v>
      </c>
      <c r="B979" s="2" t="str">
        <f>IFERROR(__xludf.DUMMYFUNCTION("GOOGLETRANSLATE(A979, ""de"", ""uk"")"),"Носимо однакову футболку.")</f>
        <v>Носимо однакову футболку.</v>
      </c>
    </row>
    <row r="980" ht="15.75" customHeight="1">
      <c r="A980" s="1" t="s">
        <v>957</v>
      </c>
      <c r="B980" s="2" t="str">
        <f>IFERROR(__xludf.DUMMYFUNCTION("GOOGLETRANSLATE(A980, ""de"", ""uk"")"),"Гість одягнений у дешевий костюм.")</f>
        <v>Гість одягнений у дешевий костюм.</v>
      </c>
    </row>
    <row r="981" ht="15.75" customHeight="1">
      <c r="A981" s="1" t="s">
        <v>958</v>
      </c>
      <c r="B981" s="2" t="str">
        <f>IFERROR(__xludf.DUMMYFUNCTION("GOOGLETRANSLATE(A981, ""de"", ""uk"")"),"Продавець дає мені червону краватку.")</f>
        <v>Продавець дає мені червону краватку.</v>
      </c>
    </row>
    <row r="982" ht="15.75" customHeight="1">
      <c r="A982" s="1" t="s">
        <v>959</v>
      </c>
      <c r="B982" s="2" t="str">
        <f>IFERROR(__xludf.DUMMYFUNCTION("GOOGLETRANSLATE(A982, ""de"", ""uk"")"),"Костюм - спеціальна пропозиція.")</f>
        <v>Костюм - спеціальна пропозиція.</v>
      </c>
    </row>
    <row r="983" ht="15.75" customHeight="1">
      <c r="A983" s="1" t="s">
        <v>960</v>
      </c>
      <c r="B983" s="2" t="str">
        <f>IFERROR(__xludf.DUMMYFUNCTION("GOOGLETRANSLATE(A983, ""de"", ""uk"")"),"Зробіть мені знижку на светр.")</f>
        <v>Зробіть мені знижку на светр.</v>
      </c>
    </row>
    <row r="984" ht="15.75" customHeight="1">
      <c r="A984" s="1" t="s">
        <v>961</v>
      </c>
      <c r="B984" s="2" t="str">
        <f>IFERROR(__xludf.DUMMYFUNCTION("GOOGLETRANSLATE(A984, ""de"", ""uk"")"),"Чоловік без жилетки.")</f>
        <v>Чоловік без жилетки.</v>
      </c>
    </row>
    <row r="985" ht="15.75" customHeight="1">
      <c r="A985" s="1" t="s">
        <v>962</v>
      </c>
      <c r="B985" s="2" t="str">
        <f>IFERROR(__xludf.DUMMYFUNCTION("GOOGLETRANSLATE(A985, ""de"", ""uk"")"),"Футболка дитині не підходить.")</f>
        <v>Футболка дитині не підходить.</v>
      </c>
    </row>
    <row r="986" ht="15.75" customHeight="1">
      <c r="A986" s="1" t="s">
        <v>963</v>
      </c>
      <c r="B986" s="2" t="str">
        <f>IFERROR(__xludf.DUMMYFUNCTION("GOOGLETRANSLATE(A986, ""de"", ""uk"")"),"Його джинси сині.")</f>
        <v>Його джинси сині.</v>
      </c>
    </row>
    <row r="987" ht="15.75" customHeight="1">
      <c r="A987" s="1" t="s">
        <v>964</v>
      </c>
      <c r="B987" s="2" t="str">
        <f>IFERROR(__xludf.DUMMYFUNCTION("GOOGLETRANSLATE(A987, ""de"", ""uk"")"),"Продавець рекомендує чоловікові чорну куртку.")</f>
        <v>Продавець рекомендує чоловікові чорну куртку.</v>
      </c>
    </row>
    <row r="988" ht="15.75" customHeight="1">
      <c r="A988" s="1" t="s">
        <v>965</v>
      </c>
      <c r="B988" s="2" t="str">
        <f>IFERROR(__xludf.DUMMYFUNCTION("GOOGLETRANSLATE(A988, ""de"", ""uk"")"),"Я не куплю пальто.")</f>
        <v>Я не куплю пальто.</v>
      </c>
    </row>
    <row r="989" ht="15.75" customHeight="1">
      <c r="A989" s="1" t="s">
        <v>966</v>
      </c>
      <c r="B989" s="2" t="str">
        <f>IFERROR(__xludf.DUMMYFUNCTION("GOOGLETRANSLATE(A989, ""de"", ""uk"")"),"Дитина одягає гарну шапку.")</f>
        <v>Дитина одягає гарну шапку.</v>
      </c>
    </row>
    <row r="990" ht="15.75" customHeight="1">
      <c r="A990" s="1" t="s">
        <v>967</v>
      </c>
      <c r="B990" s="2" t="str">
        <f>IFERROR(__xludf.DUMMYFUNCTION("GOOGLETRANSLATE(A990, ""de"", ""uk"")"),"Жінка не в рукавичках.")</f>
        <v>Жінка не в рукавичках.</v>
      </c>
    </row>
    <row r="991" ht="15.75" customHeight="1">
      <c r="A991" s="1" t="s">
        <v>968</v>
      </c>
      <c r="B991" s="2" t="str">
        <f>IFERROR(__xludf.DUMMYFUNCTION("GOOGLETRANSLATE(A991, ""de"", ""uk"")"),"Мені подобається твій шарф.")</f>
        <v>Мені подобається твій шарф.</v>
      </c>
    </row>
    <row r="992" ht="15.75" customHeight="1">
      <c r="A992" s="1" t="s">
        <v>969</v>
      </c>
      <c r="B992" s="2" t="str">
        <f>IFERROR(__xludf.DUMMYFUNCTION("GOOGLETRANSLATE(A992, ""de"", ""uk"")"),"Я витрачаю лише десять євро на хустку.")</f>
        <v>Я витрачаю лише десять євро на хустку.</v>
      </c>
    </row>
    <row r="993" ht="15.75" customHeight="1">
      <c r="A993" s="1" t="s">
        <v>970</v>
      </c>
      <c r="B993" s="2" t="str">
        <f>IFERROR(__xludf.DUMMYFUNCTION("GOOGLETRANSLATE(A993, ""de"", ""uk"")"),"Пояс твій?")</f>
        <v>Пояс твій?</v>
      </c>
    </row>
    <row r="994" ht="15.75" customHeight="1">
      <c r="A994" s="1" t="s">
        <v>971</v>
      </c>
      <c r="B994" s="2" t="str">
        <f>IFERROR(__xludf.DUMMYFUNCTION("GOOGLETRANSLATE(A994, ""de"", ""uk"")"),"Мої черевики занадто старі.")</f>
        <v>Мої черевики занадто старі.</v>
      </c>
    </row>
    <row r="995" ht="15.75" customHeight="1">
      <c r="A995" s="1" t="s">
        <v>972</v>
      </c>
      <c r="B995" s="2" t="str">
        <f>IFERROR(__xludf.DUMMYFUNCTION("GOOGLETRANSLATE(A995, ""de"", ""uk"")"),"Черевики не належать мені.")</f>
        <v>Черевики не належать мені.</v>
      </c>
    </row>
    <row r="996" ht="15.75" customHeight="1">
      <c r="A996" s="1" t="s">
        <v>973</v>
      </c>
      <c r="B996" s="2" t="str">
        <f>IFERROR(__xludf.DUMMYFUNCTION("GOOGLETRANSLATE(A996, ""de"", ""uk"")"),"Мені потрібні нові шкарпетки.")</f>
        <v>Мені потрібні нові шкарпетки.</v>
      </c>
    </row>
    <row r="997" ht="15.75" customHeight="1">
      <c r="A997" s="1" t="s">
        <v>974</v>
      </c>
      <c r="B997" s="2" t="str">
        <f>IFERROR(__xludf.DUMMYFUNCTION("GOOGLETRANSLATE(A997, ""de"", ""uk"")"),"Дитина без майки.")</f>
        <v>Дитина без майки.</v>
      </c>
    </row>
    <row r="998" ht="15.75" customHeight="1">
      <c r="A998" s="1" t="s">
        <v>975</v>
      </c>
      <c r="B998" s="2" t="str">
        <f>IFERROR(__xludf.DUMMYFUNCTION("GOOGLETRANSLATE(A998, ""de"", ""uk"")"),"Мої труси з Німеччини.")</f>
        <v>Мої труси з Німеччини.</v>
      </c>
    </row>
    <row r="999" ht="15.75" customHeight="1">
      <c r="A999" s="1" t="s">
        <v>976</v>
      </c>
      <c r="B999" s="2" t="str">
        <f>IFERROR(__xludf.DUMMYFUNCTION("GOOGLETRANSLATE(A999, ""de"", ""uk"")"),"Штани гарного кольору.")</f>
        <v>Штани гарного кольору.</v>
      </c>
    </row>
    <row r="1000" ht="15.75" customHeight="1">
      <c r="A1000" s="1" t="s">
        <v>977</v>
      </c>
      <c r="B1000" s="2" t="str">
        <f>IFERROR(__xludf.DUMMYFUNCTION("GOOGLETRANSLATE(A1000, ""de"", ""uk"")"),"Вона носить красивий перстень.")</f>
        <v>Вона носить красивий перстень.</v>
      </c>
    </row>
    <row r="1001" ht="15.75" customHeight="1">
      <c r="A1001" s="1" t="s">
        <v>978</v>
      </c>
      <c r="B1001" s="2" t="str">
        <f>IFERROR(__xludf.DUMMYFUNCTION("GOOGLETRANSLATE(A1001, ""de"", ""uk"")"),"Якість футболок дуже погана.")</f>
        <v>Якість футболок дуже погана.</v>
      </c>
    </row>
    <row r="1002" ht="15.75" customHeight="1">
      <c r="A1002" s="1" t="s">
        <v>979</v>
      </c>
      <c r="B1002" s="2" t="str">
        <f>IFERROR(__xludf.DUMMYFUNCTION("GOOGLETRANSLATE(A1002, ""de"", ""uk"")"),"Я купую свій одяг в універмазі.")</f>
        <v>Я купую свій одяг в універмазі.</v>
      </c>
    </row>
    <row r="1003" ht="15.75" customHeight="1">
      <c r="A1003" s="1" t="s">
        <v>980</v>
      </c>
      <c r="B1003" s="2" t="str">
        <f>IFERROR(__xludf.DUMMYFUNCTION("GOOGLETRANSLATE(A1003, ""de"", ""uk"")"),"Мені потрібна знижка, інакше я не куплю штани.")</f>
        <v>Мені потрібна знижка, інакше я не куплю штани.</v>
      </c>
    </row>
    <row r="1004" ht="15.75" customHeight="1">
      <c r="A1004" s="1" t="s">
        <v>981</v>
      </c>
      <c r="B1004" s="2" t="str">
        <f>IFERROR(__xludf.DUMMYFUNCTION("GOOGLETRANSLATE(A1004, ""de"", ""uk"")"),"Светр - спеціальна пропозиція.")</f>
        <v>Светр - спеціальна пропозиція.</v>
      </c>
    </row>
    <row r="1005" ht="15.75" customHeight="1">
      <c r="A1005" s="1" t="s">
        <v>982</v>
      </c>
      <c r="B1005" s="2" t="str">
        <f>IFERROR(__xludf.DUMMYFUNCTION("GOOGLETRANSLATE(A1005, ""de"", ""uk"")"),"Кожна пара штанів коштує лише двадцять євро.")</f>
        <v>Кожна пара штанів коштує лише двадцять євро.</v>
      </c>
    </row>
    <row r="1006" ht="15.75" customHeight="1">
      <c r="A1006" s="1" t="s">
        <v>983</v>
      </c>
      <c r="B1006" s="2" t="str">
        <f>IFERROR(__xludf.DUMMYFUNCTION("GOOGLETRANSLATE(A1006, ""de"", ""uk"")"),"Це остання зелена футболка.")</f>
        <v>Це остання зелена футболка.</v>
      </c>
    </row>
    <row r="1007" ht="15.75" customHeight="1">
      <c r="A1007" s="1" t="s">
        <v>984</v>
      </c>
      <c r="B1007" s="2" t="str">
        <f>IFERROR(__xludf.DUMMYFUNCTION("GOOGLETRANSLATE(A1007, ""de"", ""uk"")"),"Мені не потрібна футболка, тому що в мене їх ще багато.")</f>
        <v>Мені не потрібна футболка, тому що в мене їх ще багато.</v>
      </c>
    </row>
    <row r="1008" ht="15.75" customHeight="1">
      <c r="A1008" s="1" t="s">
        <v>985</v>
      </c>
      <c r="B1008" s="2" t="str">
        <f>IFERROR(__xludf.DUMMYFUNCTION("GOOGLETRANSLATE(A1008, ""de"", ""uk"")"),"У деяких магазинах закінчилися шкарпетки.")</f>
        <v>У деяких магазинах закінчилися шкарпетки.</v>
      </c>
    </row>
    <row r="1009" ht="15.75" customHeight="1">
      <c r="A1009" s="1" t="s">
        <v>986</v>
      </c>
      <c r="B1009" s="2" t="str">
        <f>IFERROR(__xludf.DUMMYFUNCTION("GOOGLETRANSLATE(A1009, ""de"", ""uk"")"),"Обидва штани дуже гарні.")</f>
        <v>Обидва штани дуже гарні.</v>
      </c>
    </row>
    <row r="1010" ht="15.75" customHeight="1">
      <c r="A1010" s="1" t="s">
        <v>987</v>
      </c>
      <c r="B1010" s="2" t="str">
        <f>IFERROR(__xludf.DUMMYFUNCTION("GOOGLETRANSLATE(A1010, ""de"", ""uk"")"),"Мені потрібно декілька футболок.")</f>
        <v>Мені потрібно декілька футболок.</v>
      </c>
    </row>
    <row r="1011" ht="15.75" customHeight="1">
      <c r="A1011" s="1" t="s">
        <v>988</v>
      </c>
      <c r="B1011" s="2" t="str">
        <f>IFERROR(__xludf.DUMMYFUNCTION("GOOGLETRANSLATE(A1011, ""de"", ""uk"")"),"Я дам їм за це лише десять євро.")</f>
        <v>Я дам їм за це лише десять євро.</v>
      </c>
    </row>
    <row r="1012" ht="15.75" customHeight="1">
      <c r="A1012" s="1" t="s">
        <v>989</v>
      </c>
      <c r="B1012" s="2" t="str">
        <f>IFERROR(__xludf.DUMMYFUNCTION("GOOGLETRANSLATE(A1012, ""de"", ""uk"")"),"Це ваше взуття?")</f>
        <v>Це ваше взуття?</v>
      </c>
    </row>
    <row r="1013" ht="15.75" customHeight="1">
      <c r="A1013" s="1" t="s">
        <v>990</v>
      </c>
      <c r="B1013" s="2" t="str">
        <f>IFERROR(__xludf.DUMMYFUNCTION("GOOGLETRANSLATE(A1013, ""de"", ""uk"")"),"погоджуюсь")</f>
        <v>погоджуюсь</v>
      </c>
    </row>
    <row r="1014" ht="15.75" customHeight="1">
      <c r="A1014" s="1" t="s">
        <v>991</v>
      </c>
      <c r="B1014" s="2" t="str">
        <f>IFERROR(__xludf.DUMMYFUNCTION("GOOGLETRANSLATE(A1014, ""de"", ""uk"")"),"Чоловікові потрібне взуття.")</f>
        <v>Чоловікові потрібне взуття.</v>
      </c>
    </row>
    <row r="1015" ht="15.75" customHeight="1">
      <c r="A1015" s="1" t="s">
        <v>992</v>
      </c>
      <c r="B1015" s="2" t="str">
        <f>IFERROR(__xludf.DUMMYFUNCTION("GOOGLETRANSLATE(A1015, ""de"", ""uk"")"),"Коштують футболки до тридцяти євро.")</f>
        <v>Коштують футболки до тридцяти євро.</v>
      </c>
    </row>
    <row r="1016" ht="15.75" customHeight="1">
      <c r="A1016" s="1" t="s">
        <v>993</v>
      </c>
      <c r="B1016" s="2" t="str">
        <f>IFERROR(__xludf.DUMMYFUNCTION("GOOGLETRANSLATE(A1016, ""de"", ""uk"")"),"У нас лише кілька курток.")</f>
        <v>У нас лише кілька курток.</v>
      </c>
    </row>
    <row r="1017" ht="15.75" customHeight="1">
      <c r="A1017" s="1" t="s">
        <v>994</v>
      </c>
      <c r="B1017" s="2" t="str">
        <f>IFERROR(__xludf.DUMMYFUNCTION("GOOGLETRANSLATE(A1017, ""de"", ""uk"")"),"Продаємо штани без пояса.")</f>
        <v>Продаємо штани без пояса.</v>
      </c>
    </row>
    <row r="1018" ht="15.75" customHeight="1">
      <c r="A1018" s="1" t="s">
        <v>995</v>
      </c>
      <c r="B1018" s="2" t="str">
        <f>IFERROR(__xludf.DUMMYFUNCTION("GOOGLETRANSLATE(A1018, ""de"", ""uk"")"),"Тобі не потрібна футболка, тільки светр.")</f>
        <v>Тобі не потрібна футболка, тільки светр.</v>
      </c>
    </row>
    <row r="1019" ht="15.75" customHeight="1">
      <c r="A1019" s="1" t="s">
        <v>996</v>
      </c>
      <c r="B1019" s="2" t="str">
        <f>IFERROR(__xludf.DUMMYFUNCTION("GOOGLETRANSLATE(A1019, ""de"", ""uk"")"),"Дитина одягнена в червону футболку.")</f>
        <v>Дитина одягнена в червону футболку.</v>
      </c>
    </row>
    <row r="1020" ht="15.75" customHeight="1">
      <c r="A1020" s="1" t="s">
        <v>997</v>
      </c>
      <c r="B1020" s="2" t="str">
        <f>IFERROR(__xludf.DUMMYFUNCTION("GOOGLETRANSLATE(A1020, ""de"", ""uk"")"),"Я хотів би жовту куртку, будь ласка.")</f>
        <v>Я хотів би жовту куртку, будь ласка.</v>
      </c>
    </row>
    <row r="1021" ht="15.75" customHeight="1">
      <c r="A1021" s="1" t="s">
        <v>998</v>
      </c>
      <c r="B1021" s="2" t="str">
        <f>IFERROR(__xludf.DUMMYFUNCTION("GOOGLETRANSLATE(A1021, ""de"", ""uk"")"),"Жінка одягнена в синю хустку.")</f>
        <v>Жінка одягнена в синю хустку.</v>
      </c>
    </row>
    <row r="1022" ht="15.75" customHeight="1">
      <c r="A1022" s="1" t="s">
        <v>999</v>
      </c>
      <c r="B1022" s="2" t="str">
        <f>IFERROR(__xludf.DUMMYFUNCTION("GOOGLETRANSLATE(A1022, ""de"", ""uk"")"),"Мій светр зелений.")</f>
        <v>Мій светр зелений.</v>
      </c>
    </row>
    <row r="1023" ht="15.75" customHeight="1">
      <c r="A1023" s="1" t="s">
        <v>1000</v>
      </c>
      <c r="B1023" s="2" t="str">
        <f>IFERROR(__xludf.DUMMYFUNCTION("GOOGLETRANSLATE(A1023, ""de"", ""uk"")"),"Колір його штанів коричневий.")</f>
        <v>Колір його штанів коричневий.</v>
      </c>
    </row>
    <row r="1024" ht="15.75" customHeight="1">
      <c r="A1024" s="1" t="s">
        <v>1001</v>
      </c>
      <c r="B1024" s="2" t="str">
        <f>IFERROR(__xludf.DUMMYFUNCTION("GOOGLETRANSLATE(A1024, ""de"", ""uk"")"),"Він носить сірий капелюх.")</f>
        <v>Він носить сірий капелюх.</v>
      </c>
    </row>
    <row r="1025" ht="15.75" customHeight="1">
      <c r="A1025" s="1" t="s">
        <v>1002</v>
      </c>
      <c r="B1025" s="2" t="str">
        <f>IFERROR(__xludf.DUMMYFUNCTION("GOOGLETRANSLATE(A1025, ""de"", ""uk"")"),"Нам потрібні чорні черевики.")</f>
        <v>Нам потрібні чорні черевики.</v>
      </c>
    </row>
    <row r="1026" ht="15.75" customHeight="1">
      <c r="A1026" s="1" t="s">
        <v>1003</v>
      </c>
      <c r="B1026" s="2" t="str">
        <f>IFERROR(__xludf.DUMMYFUNCTION("GOOGLETRANSLATE(A1026, ""de"", ""uk"")"),"Кому належать білі шкарпетки?")</f>
        <v>Кому належать білі шкарпетки?</v>
      </c>
    </row>
    <row r="1027" ht="15.75" customHeight="1">
      <c r="A1027" s="1" t="s">
        <v>1004</v>
      </c>
      <c r="B1027" s="2" t="str">
        <f>IFERROR(__xludf.DUMMYFUNCTION("GOOGLETRANSLATE(A1027, ""de"", ""uk"")"),"Її костюм рожевий.")</f>
        <v>Її костюм рожевий.</v>
      </c>
    </row>
    <row r="1028" ht="15.75" customHeight="1">
      <c r="A1028" s="1" t="s">
        <v>1005</v>
      </c>
      <c r="B1028" s="2" t="str">
        <f>IFERROR(__xludf.DUMMYFUNCTION("GOOGLETRANSLATE(A1028, ""de"", ""uk"")"),"Купую помаранчеву спідницю.")</f>
        <v>Купую помаранчеву спідницю.</v>
      </c>
    </row>
    <row r="1029" ht="15.75" customHeight="1">
      <c r="A1029" s="1" t="s">
        <v>1006</v>
      </c>
      <c r="B1029" s="2" t="str">
        <f>IFERROR(__xludf.DUMMYFUNCTION("GOOGLETRANSLATE(A1029, ""de"", ""uk"")"),"Я не ношу фіолетові штани.")</f>
        <v>Я не ношу фіолетові штани.</v>
      </c>
    </row>
    <row r="1030" ht="15.75" customHeight="1">
      <c r="A1030" s="1" t="s">
        <v>1007</v>
      </c>
      <c r="B1030" s="2" t="str">
        <f>IFERROR(__xludf.DUMMYFUNCTION("GOOGLETRANSLATE(A1030, ""de"", ""uk"")"),"На жінці коротка спідниця.")</f>
        <v>На жінці коротка спідниця.</v>
      </c>
    </row>
    <row r="1031" ht="15.75" customHeight="1">
      <c r="A1031" s="1" t="s">
        <v>1008</v>
      </c>
      <c r="B1031" s="2" t="str">
        <f>IFERROR(__xludf.DUMMYFUNCTION("GOOGLETRANSLATE(A1031, ""de"", ""uk"")"),"Я їм одразу допоможу.")</f>
        <v>Я їм одразу допоможу.</v>
      </c>
    </row>
    <row r="1032" ht="15.75" customHeight="1">
      <c r="A1032" s="1" t="s">
        <v>1009</v>
      </c>
      <c r="B1032" s="2" t="str">
        <f>IFERROR(__xludf.DUMMYFUNCTION("GOOGLETRANSLATE(A1032, ""de"", ""uk"")"),"У вас також є інші футболки?")</f>
        <v>У вас також є інші футболки?</v>
      </c>
    </row>
    <row r="1033" ht="15.75" customHeight="1">
      <c r="A1033" s="1" t="s">
        <v>1010</v>
      </c>
      <c r="B1033" s="2" t="str">
        <f>IFERROR(__xludf.DUMMYFUNCTION("GOOGLETRANSLATE(A1033, ""de"", ""uk"")"),"Моїй дитині потрібні нові туфлі.")</f>
        <v>Моїй дитині потрібні нові туфлі.</v>
      </c>
    </row>
    <row r="1034" ht="15.75" customHeight="1">
      <c r="A1034" s="1" t="s">
        <v>1011</v>
      </c>
      <c r="B1034" s="2" t="str">
        <f>IFERROR(__xludf.DUMMYFUNCTION("GOOGLETRANSLATE(A1034, ""de"", ""uk"")"),"Його куртка дуже стара.")</f>
        <v>Його куртка дуже стара.</v>
      </c>
    </row>
    <row r="1035" ht="15.75" customHeight="1">
      <c r="A1035" s="1" t="s">
        <v>1012</v>
      </c>
      <c r="B1035" s="2" t="str">
        <f>IFERROR(__xludf.DUMMYFUNCTION("GOOGLETRANSLATE(A1035, ""de"", ""uk"")"),"Одяг в магазині дуже недорогий.")</f>
        <v>Одяг в магазині дуже недорогий.</v>
      </c>
    </row>
    <row r="1036" ht="15.75" customHeight="1">
      <c r="A1036" s="1" t="s">
        <v>1013</v>
      </c>
      <c r="B1036" s="2" t="str">
        <f>IFERROR(__xludf.DUMMYFUNCTION("GOOGLETRANSLATE(A1036, ""de"", ""uk"")"),"Сукня особливо красива.")</f>
        <v>Сукня особливо красива.</v>
      </c>
    </row>
    <row r="1037" ht="15.75" customHeight="1">
      <c r="A1037" s="1" t="s">
        <v>1014</v>
      </c>
      <c r="B1037" s="2" t="str">
        <f>IFERROR(__xludf.DUMMYFUNCTION("GOOGLETRANSLATE(A1037, ""de"", ""uk"")"),"Його светр дуже м'який.")</f>
        <v>Його светр дуже м'який.</v>
      </c>
    </row>
    <row r="1038" ht="15.75" customHeight="1">
      <c r="A1038" s="1" t="s">
        <v>1015</v>
      </c>
      <c r="B1038" s="2" t="str">
        <f>IFERROR(__xludf.DUMMYFUNCTION("GOOGLETRANSLATE(A1038, ""de"", ""uk"")"),"Джинси справжні Levis.")</f>
        <v>Джинси справжні Levis.</v>
      </c>
    </row>
    <row r="1039" ht="15.75" customHeight="1">
      <c r="A1039" s="1" t="s">
        <v>1016</v>
      </c>
      <c r="B1039" s="2" t="str">
        <f>IFERROR(__xludf.DUMMYFUNCTION("GOOGLETRANSLATE(A1039, ""de"", ""uk"")"),"душ")</f>
        <v>душ</v>
      </c>
    </row>
    <row r="1040" ht="15.75" customHeight="1">
      <c r="A1040" s="1" t="s">
        <v>1017</v>
      </c>
      <c r="B1040" s="2" t="str">
        <f>IFERROR(__xludf.DUMMYFUNCTION("GOOGLETRANSLATE(A1040, ""de"", ""uk"")"),"купатися")</f>
        <v>купатися</v>
      </c>
    </row>
    <row r="1041" ht="15.75" customHeight="1">
      <c r="A1041" s="1" t="s">
        <v>1018</v>
      </c>
      <c r="B1041" s="2" t="str">
        <f>IFERROR(__xludf.DUMMYFUNCTION("GOOGLETRANSLATE(A1041, ""de"", ""uk"")"),"розчісуватись")</f>
        <v>розчісуватись</v>
      </c>
    </row>
    <row r="1042" ht="15.75" customHeight="1">
      <c r="A1042" s="1" t="s">
        <v>1019</v>
      </c>
      <c r="B1042" s="2" t="str">
        <f>IFERROR(__xludf.DUMMYFUNCTION("GOOGLETRANSLATE(A1042, ""de"", ""uk"")"),"голитися")</f>
        <v>голитися</v>
      </c>
    </row>
    <row r="1043" ht="15.75" customHeight="1">
      <c r="A1043" s="1" t="s">
        <v>1020</v>
      </c>
      <c r="B1043" s="2" t="str">
        <f>IFERROR(__xludf.DUMMYFUNCTION("GOOGLETRANSLATE(A1043, ""de"", ""uk"")"),"дим")</f>
        <v>дим</v>
      </c>
    </row>
    <row r="1044" ht="15.75" customHeight="1">
      <c r="A1044" s="1" t="s">
        <v>1021</v>
      </c>
      <c r="B1044" s="2" t="str">
        <f>IFERROR(__xludf.DUMMYFUNCTION("GOOGLETRANSLATE(A1044, ""de"", ""uk"")"),"запах")</f>
        <v>запах</v>
      </c>
    </row>
    <row r="1045" ht="15.75" customHeight="1">
      <c r="A1045" s="1" t="s">
        <v>1022</v>
      </c>
      <c r="B1045" s="2" t="str">
        <f>IFERROR(__xludf.DUMMYFUNCTION("GOOGLETRANSLATE(A1045, ""de"", ""uk"")"),"смак хороший")</f>
        <v>смак хороший</v>
      </c>
    </row>
    <row r="1046" ht="15.75" customHeight="1">
      <c r="A1046" s="1" t="s">
        <v>1023</v>
      </c>
      <c r="B1046" s="2" t="str">
        <f>IFERROR(__xludf.DUMMYFUNCTION("GOOGLETRANSLATE(A1046, ""de"", ""uk"")"),"сидіти")</f>
        <v>сидіти</v>
      </c>
    </row>
    <row r="1047" ht="15.75" customHeight="1">
      <c r="A1047" s="1" t="s">
        <v>1024</v>
      </c>
      <c r="B1047" s="2" t="str">
        <f>IFERROR(__xludf.DUMMYFUNCTION("GOOGLETRANSLATE(A1047, ""de"", ""uk"")"),"стояти")</f>
        <v>стояти</v>
      </c>
    </row>
    <row r="1048" ht="15.75" customHeight="1">
      <c r="A1048" s="1" t="s">
        <v>288</v>
      </c>
      <c r="B1048" s="2" t="str">
        <f>IFERROR(__xludf.DUMMYFUNCTION("GOOGLETRANSLATE(A1048, ""de"", ""uk"")"),"чекати")</f>
        <v>чекати</v>
      </c>
    </row>
    <row r="1049" ht="15.75" customHeight="1">
      <c r="A1049" s="1" t="s">
        <v>1025</v>
      </c>
      <c r="B1049" s="2" t="str">
        <f>IFERROR(__xludf.DUMMYFUNCTION("GOOGLETRANSLATE(A1049, ""de"", ""uk"")"),"боляче")</f>
        <v>боляче</v>
      </c>
    </row>
    <row r="1050" ht="15.75" customHeight="1">
      <c r="A1050" s="1" t="s">
        <v>1026</v>
      </c>
      <c r="B1050" s="2" t="str">
        <f>IFERROR(__xludf.DUMMYFUNCTION("GOOGLETRANSLATE(A1050, ""de"", ""uk"")"),"переглянути")</f>
        <v>переглянути</v>
      </c>
    </row>
    <row r="1051" ht="15.75" customHeight="1">
      <c r="A1051" s="1" t="s">
        <v>1027</v>
      </c>
      <c r="B1051" s="2" t="str">
        <f>IFERROR(__xludf.DUMMYFUNCTION("GOOGLETRANSLATE(A1051, ""de"", ""uk"")"),"бути там")</f>
        <v>бути там</v>
      </c>
    </row>
    <row r="1052" ht="15.75" customHeight="1">
      <c r="A1052" s="1" t="s">
        <v>1028</v>
      </c>
      <c r="B1052" s="2" t="str">
        <f>IFERROR(__xludf.DUMMYFUNCTION("GOOGLETRANSLATE(A1052, ""de"", ""uk"")"),"останній")</f>
        <v>останній</v>
      </c>
    </row>
    <row r="1053" ht="15.75" customHeight="1">
      <c r="A1053" s="1" t="s">
        <v>19</v>
      </c>
      <c r="B1053" s="2" t="str">
        <f>IFERROR(__xludf.DUMMYFUNCTION("GOOGLETRANSLATE(A1053, ""de"", ""uk"")"),"сказати")</f>
        <v>сказати</v>
      </c>
    </row>
    <row r="1054" ht="15.75" customHeight="1">
      <c r="A1054" s="1" t="s">
        <v>1029</v>
      </c>
      <c r="B1054" s="2" t="str">
        <f>IFERROR(__xludf.DUMMYFUNCTION("GOOGLETRANSLATE(A1054, ""de"", ""uk"")"),"передати")</f>
        <v>передати</v>
      </c>
    </row>
    <row r="1055" ht="15.75" customHeight="1">
      <c r="A1055" s="1" t="s">
        <v>1030</v>
      </c>
      <c r="B1055" s="2" t="str">
        <f>IFERROR(__xludf.DUMMYFUNCTION("GOOGLETRANSLATE(A1055, ""de"", ""uk"")"),"статися")</f>
        <v>статися</v>
      </c>
    </row>
    <row r="1056" ht="15.75" customHeight="1">
      <c r="A1056" s="1" t="s">
        <v>1031</v>
      </c>
      <c r="B1056" s="2" t="str">
        <f>IFERROR(__xludf.DUMMYFUNCTION("GOOGLETRANSLATE(A1056, ""de"", ""uk"")"),"розслідувати")</f>
        <v>розслідувати</v>
      </c>
    </row>
    <row r="1057" ht="15.75" customHeight="1">
      <c r="A1057" s="1" t="s">
        <v>1025</v>
      </c>
      <c r="B1057" s="2" t="str">
        <f>IFERROR(__xludf.DUMMYFUNCTION("GOOGLETRANSLATE(A1057, ""de"", ""uk"")"),"боляче")</f>
        <v>боляче</v>
      </c>
    </row>
    <row r="1058" ht="15.75" customHeight="1">
      <c r="A1058" s="1" t="s">
        <v>1032</v>
      </c>
      <c r="B1058" s="2" t="str">
        <f>IFERROR(__xludf.DUMMYFUNCTION("GOOGLETRANSLATE(A1058, ""de"", ""uk"")"),"подивитися на")</f>
        <v>подивитися на</v>
      </c>
    </row>
    <row r="1059" ht="15.75" customHeight="1">
      <c r="A1059" s="1" t="s">
        <v>1033</v>
      </c>
      <c r="B1059" s="2" t="str">
        <f>IFERROR(__xludf.DUMMYFUNCTION("GOOGLETRANSLATE(A1059, ""de"", ""uk"")"),"взяти з собою")</f>
        <v>взяти з собою</v>
      </c>
    </row>
    <row r="1060" ht="15.75" customHeight="1">
      <c r="A1060" s="1" t="s">
        <v>1034</v>
      </c>
      <c r="B1060" s="2" t="str">
        <f>IFERROR(__xludf.DUMMYFUNCTION("GOOGLETRANSLATE(A1060, ""de"", ""uk"")"),"повинен")</f>
        <v>повинен</v>
      </c>
    </row>
    <row r="1061" ht="15.75" customHeight="1">
      <c r="A1061" s="1" t="s">
        <v>1035</v>
      </c>
      <c r="B1061" s="2" t="str">
        <f>IFERROR(__xludf.DUMMYFUNCTION("GOOGLETRANSLATE(A1061, ""de"", ""uk"")"),"може")</f>
        <v>може</v>
      </c>
    </row>
    <row r="1062" ht="15.75" customHeight="1">
      <c r="A1062" s="1" t="s">
        <v>1036</v>
      </c>
      <c r="B1062" s="2" t="str">
        <f>IFERROR(__xludf.DUMMYFUNCTION("GOOGLETRANSLATE(A1062, ""de"", ""uk"")"),"звіт")</f>
        <v>звіт</v>
      </c>
    </row>
    <row r="1063" ht="15.75" customHeight="1">
      <c r="A1063" s="1" t="s">
        <v>1037</v>
      </c>
      <c r="B1063" s="2" t="str">
        <f>IFERROR(__xludf.DUMMYFUNCTION("GOOGLETRANSLATE(A1063, ""de"", ""uk"")"),"робити")</f>
        <v>робити</v>
      </c>
    </row>
    <row r="1064" ht="15.75" customHeight="1">
      <c r="A1064" s="1" t="s">
        <v>1038</v>
      </c>
      <c r="B1064" s="2" t="str">
        <f>IFERROR(__xludf.DUMMYFUNCTION("GOOGLETRANSLATE(A1064, ""de"", ""uk"")"),"уникнути")</f>
        <v>уникнути</v>
      </c>
    </row>
    <row r="1065" ht="15.75" customHeight="1">
      <c r="A1065" s="1" t="s">
        <v>1039</v>
      </c>
      <c r="B1065" s="2" t="str">
        <f>IFERROR(__xludf.DUMMYFUNCTION("GOOGLETRANSLATE(A1065, ""de"", ""uk"")"),"працює")</f>
        <v>працює</v>
      </c>
    </row>
    <row r="1066" ht="15.75" customHeight="1">
      <c r="A1066" s="1" t="s">
        <v>288</v>
      </c>
      <c r="B1066" s="2" t="str">
        <f>IFERROR(__xludf.DUMMYFUNCTION("GOOGLETRANSLATE(A1066, ""de"", ""uk"")"),"чекати")</f>
        <v>чекати</v>
      </c>
    </row>
    <row r="1067" ht="15.75" customHeight="1">
      <c r="A1067" s="1" t="s">
        <v>1040</v>
      </c>
      <c r="B1067" s="2" t="str">
        <f>IFERROR(__xludf.DUMMYFUNCTION("GOOGLETRANSLATE(A1067, ""de"", ""uk"")"),"підтримувати")</f>
        <v>підтримувати</v>
      </c>
    </row>
    <row r="1068" ht="15.75" customHeight="1">
      <c r="A1068" s="1" t="s">
        <v>1041</v>
      </c>
      <c r="B1068" s="2" t="str">
        <f>IFERROR(__xludf.DUMMYFUNCTION("GOOGLETRANSLATE(A1068, ""de"", ""uk"")"),"реагувати")</f>
        <v>реагувати</v>
      </c>
    </row>
    <row r="1069" ht="15.75" customHeight="1">
      <c r="A1069" s="1" t="s">
        <v>1042</v>
      </c>
      <c r="B1069" s="2" t="str">
        <f>IFERROR(__xludf.DUMMYFUNCTION("GOOGLETRANSLATE(A1069, ""de"", ""uk"")"),"розслабитися")</f>
        <v>розслабитися</v>
      </c>
    </row>
    <row r="1070" ht="15.75" customHeight="1">
      <c r="A1070" s="1" t="s">
        <v>1043</v>
      </c>
      <c r="B1070" s="2" t="str">
        <f>IFERROR(__xludf.DUMMYFUNCTION("GOOGLETRANSLATE(A1070, ""de"", ""uk"")"),"впасти вниз")</f>
        <v>впасти вниз</v>
      </c>
    </row>
    <row r="1071" ht="15.75" customHeight="1">
      <c r="A1071" s="1" t="s">
        <v>1044</v>
      </c>
      <c r="B1071" s="2" t="str">
        <f>IFERROR(__xludf.DUMMYFUNCTION("GOOGLETRANSLATE(A1071, ""de"", ""uk"")"),"набирати вагу")</f>
        <v>набирати вагу</v>
      </c>
    </row>
    <row r="1072" ht="15.75" customHeight="1">
      <c r="A1072" s="1" t="s">
        <v>1045</v>
      </c>
      <c r="B1072" s="2" t="str">
        <f>IFERROR(__xludf.DUMMYFUNCTION("GOOGLETRANSLATE(A1072, ""de"", ""uk"")"),"порадити")</f>
        <v>порадити</v>
      </c>
    </row>
    <row r="1073" ht="15.75" customHeight="1">
      <c r="A1073" s="1" t="s">
        <v>1046</v>
      </c>
      <c r="B1073" s="2" t="str">
        <f>IFERROR(__xludf.DUMMYFUNCTION("GOOGLETRANSLATE(A1073, ""de"", ""uk"")"),"зробити")</f>
        <v>зробити</v>
      </c>
    </row>
    <row r="1074" ht="15.75" customHeight="1">
      <c r="A1074" s="1" t="s">
        <v>1047</v>
      </c>
      <c r="B1074" s="2" t="str">
        <f>IFERROR(__xludf.DUMMYFUNCTION("GOOGLETRANSLATE(A1074, ""de"", ""uk"")"),"повинен")</f>
        <v>повинен</v>
      </c>
    </row>
    <row r="1075" ht="15.75" customHeight="1">
      <c r="A1075" s="1" t="s">
        <v>1048</v>
      </c>
      <c r="B1075" s="2" t="str">
        <f>IFERROR(__xludf.DUMMYFUNCTION("GOOGLETRANSLATE(A1075, ""de"", ""uk"")"),"дайте мені знати")</f>
        <v>дайте мені знати</v>
      </c>
    </row>
    <row r="1076" ht="15.75" customHeight="1">
      <c r="A1076" s="1" t="s">
        <v>1049</v>
      </c>
      <c r="B1076" s="2" t="str">
        <f>IFERROR(__xludf.DUMMYFUNCTION("GOOGLETRANSLATE(A1076, ""de"", ""uk"")"),"мило")</f>
        <v>мило</v>
      </c>
    </row>
    <row r="1077" ht="15.75" customHeight="1">
      <c r="A1077" s="1" t="s">
        <v>1050</v>
      </c>
      <c r="B1077" s="2" t="str">
        <f>IFERROR(__xludf.DUMMYFUNCTION("GOOGLETRANSLATE(A1077, ""de"", ""uk"")"),"шампунь")</f>
        <v>шампунь</v>
      </c>
    </row>
    <row r="1078" ht="15.75" customHeight="1">
      <c r="A1078" s="1" t="s">
        <v>1051</v>
      </c>
      <c r="B1078" s="2" t="str">
        <f>IFERROR(__xludf.DUMMYFUNCTION("GOOGLETRANSLATE(A1078, ""de"", ""uk"")"),"рушник")</f>
        <v>рушник</v>
      </c>
    </row>
    <row r="1079" ht="15.75" customHeight="1">
      <c r="A1079" s="1" t="s">
        <v>1052</v>
      </c>
      <c r="B1079" s="2" t="str">
        <f>IFERROR(__xludf.DUMMYFUNCTION("GOOGLETRANSLATE(A1079, ""de"", ""uk"")"),"зубна щітка")</f>
        <v>зубна щітка</v>
      </c>
    </row>
    <row r="1080" ht="15.75" customHeight="1">
      <c r="A1080" s="1" t="s">
        <v>1053</v>
      </c>
      <c r="B1080" s="2" t="str">
        <f>IFERROR(__xludf.DUMMYFUNCTION("GOOGLETRANSLATE(A1080, ""de"", ""uk"")"),"зубна паста")</f>
        <v>зубна паста</v>
      </c>
    </row>
    <row r="1081" ht="15.75" customHeight="1">
      <c r="A1081" s="1" t="s">
        <v>1054</v>
      </c>
      <c r="B1081" s="2" t="str">
        <f>IFERROR(__xludf.DUMMYFUNCTION("GOOGLETRANSLATE(A1081, ""de"", ""uk"")"),"крем")</f>
        <v>крем</v>
      </c>
    </row>
    <row r="1082" ht="15.75" customHeight="1">
      <c r="A1082" s="1" t="s">
        <v>1055</v>
      </c>
      <c r="B1082" s="2" t="str">
        <f>IFERROR(__xludf.DUMMYFUNCTION("GOOGLETRANSLATE(A1082, ""de"", ""uk"")"),"тротуар")</f>
        <v>тротуар</v>
      </c>
    </row>
    <row r="1083" ht="15.75" customHeight="1">
      <c r="A1083" s="1" t="s">
        <v>1056</v>
      </c>
      <c r="B1083" s="2" t="str">
        <f>IFERROR(__xludf.DUMMYFUNCTION("GOOGLETRANSLATE(A1083, ""de"", ""uk"")"),"ліки")</f>
        <v>ліки</v>
      </c>
    </row>
    <row r="1084" ht="15.75" customHeight="1">
      <c r="A1084" s="1" t="s">
        <v>1057</v>
      </c>
      <c r="B1084" s="2" t="str">
        <f>IFERROR(__xludf.DUMMYFUNCTION("GOOGLETRANSLATE(A1084, ""de"", ""uk"")"),"планшет")</f>
        <v>планшет</v>
      </c>
    </row>
    <row r="1085" ht="15.75" customHeight="1">
      <c r="A1085" s="1" t="s">
        <v>1058</v>
      </c>
      <c r="B1085" s="2" t="str">
        <f>IFERROR(__xludf.DUMMYFUNCTION("GOOGLETRANSLATE(A1085, ""de"", ""uk"")"),"лікар")</f>
        <v>лікар</v>
      </c>
    </row>
    <row r="1086" ht="15.75" customHeight="1">
      <c r="A1086" s="1" t="s">
        <v>1059</v>
      </c>
      <c r="B1086" s="2" t="str">
        <f>IFERROR(__xludf.DUMMYFUNCTION("GOOGLETRANSLATE(A1086, ""de"", ""uk"")"),"медсестра")</f>
        <v>медсестра</v>
      </c>
    </row>
    <row r="1087" ht="15.75" customHeight="1">
      <c r="A1087" s="1" t="s">
        <v>1060</v>
      </c>
      <c r="B1087" s="2" t="str">
        <f>IFERROR(__xludf.DUMMYFUNCTION("GOOGLETRANSLATE(A1087, ""de"", ""uk"")"),"пацієнт")</f>
        <v>пацієнт</v>
      </c>
    </row>
    <row r="1088" ht="15.75" customHeight="1">
      <c r="A1088" s="1" t="s">
        <v>1061</v>
      </c>
      <c r="B1088" s="2" t="str">
        <f>IFERROR(__xludf.DUMMYFUNCTION("GOOGLETRANSLATE(A1088, ""de"", ""uk"")"),"страхова картка")</f>
        <v>страхова картка</v>
      </c>
    </row>
    <row r="1089" ht="15.75" customHeight="1">
      <c r="A1089" s="1" t="s">
        <v>1062</v>
      </c>
      <c r="B1089" s="2" t="str">
        <f>IFERROR(__xludf.DUMMYFUNCTION("GOOGLETRANSLATE(A1089, ""de"", ""uk"")"),"практика")</f>
        <v>практика</v>
      </c>
    </row>
    <row r="1090" ht="15.75" customHeight="1">
      <c r="A1090" s="1" t="s">
        <v>1063</v>
      </c>
      <c r="B1090" s="2" t="str">
        <f>IFERROR(__xludf.DUMMYFUNCTION("GOOGLETRANSLATE(A1090, ""de"", ""uk"")"),"лікарня")</f>
        <v>лікарня</v>
      </c>
    </row>
    <row r="1091" ht="15.75" customHeight="1">
      <c r="A1091" s="1" t="s">
        <v>1064</v>
      </c>
      <c r="B1091" s="2" t="str">
        <f>IFERROR(__xludf.DUMMYFUNCTION("GOOGLETRANSLATE(A1091, ""de"", ""uk"")"),"швидка допомога")</f>
        <v>швидка допомога</v>
      </c>
    </row>
    <row r="1092" ht="15.75" customHeight="1">
      <c r="A1092" s="1" t="s">
        <v>1065</v>
      </c>
      <c r="B1092" s="2" t="str">
        <f>IFERROR(__xludf.DUMMYFUNCTION("GOOGLETRANSLATE(A1092, ""de"", ""uk"")"),"асоціація")</f>
        <v>асоціація</v>
      </c>
    </row>
    <row r="1093" ht="15.75" customHeight="1">
      <c r="A1093" s="1" t="s">
        <v>1066</v>
      </c>
      <c r="B1093" s="2" t="str">
        <f>IFERROR(__xludf.DUMMYFUNCTION("GOOGLETRANSLATE(A1093, ""de"", ""uk"")"),"минуле")</f>
        <v>минуле</v>
      </c>
    </row>
    <row r="1094" ht="15.75" customHeight="1">
      <c r="A1094" s="1" t="s">
        <v>1067</v>
      </c>
      <c r="B1094" s="2" t="str">
        <f>IFERROR(__xludf.DUMMYFUNCTION("GOOGLETRANSLATE(A1094, ""de"", ""uk"")"),"фітнес")</f>
        <v>фітнес</v>
      </c>
    </row>
    <row r="1095" ht="15.75" customHeight="1">
      <c r="A1095" s="1" t="s">
        <v>1068</v>
      </c>
      <c r="B1095" s="2" t="str">
        <f>IFERROR(__xludf.DUMMYFUNCTION("GOOGLETRANSLATE(A1095, ""de"", ""uk"")"),"проблема")</f>
        <v>проблема</v>
      </c>
    </row>
    <row r="1096" ht="15.75" customHeight="1">
      <c r="A1096" s="1" t="s">
        <v>1069</v>
      </c>
      <c r="B1096" s="2" t="str">
        <f>IFERROR(__xludf.DUMMYFUNCTION("GOOGLETRANSLATE(A1096, ""de"", ""uk"")"),"хронологічний порядок")</f>
        <v>хронологічний порядок</v>
      </c>
    </row>
    <row r="1097" ht="15.75" customHeight="1">
      <c r="A1097" s="1" t="s">
        <v>1070</v>
      </c>
      <c r="B1097" s="2" t="str">
        <f>IFERROR(__xludf.DUMMYFUNCTION("GOOGLETRANSLATE(A1097, ""de"", ""uk"")"),"час")</f>
        <v>час</v>
      </c>
    </row>
    <row r="1098" ht="15.75" customHeight="1">
      <c r="A1098" s="1" t="s">
        <v>1071</v>
      </c>
      <c r="B1098" s="2" t="str">
        <f>IFERROR(__xludf.DUMMYFUNCTION("GOOGLETRANSLATE(A1098, ""de"", ""uk"")"),"реєстрація")</f>
        <v>реєстрація</v>
      </c>
    </row>
    <row r="1099" ht="15.75" customHeight="1">
      <c r="A1099" s="1" t="s">
        <v>1072</v>
      </c>
      <c r="B1099" s="2" t="str">
        <f>IFERROR(__xludf.DUMMYFUNCTION("GOOGLETRANSLATE(A1099, ""de"", ""uk"")"),"аптека")</f>
        <v>аптека</v>
      </c>
    </row>
    <row r="1100" ht="15.75" customHeight="1">
      <c r="A1100" s="1" t="s">
        <v>1073</v>
      </c>
      <c r="B1100" s="2" t="str">
        <f>IFERROR(__xludf.DUMMYFUNCTION("GOOGLETRANSLATE(A1100, ""de"", ""uk"")"),"зал очікування")</f>
        <v>зал очікування</v>
      </c>
    </row>
    <row r="1101" ht="15.75" customHeight="1">
      <c r="A1101" s="1" t="s">
        <v>1074</v>
      </c>
      <c r="B1101" s="2" t="str">
        <f>IFERROR(__xludf.DUMMYFUNCTION("GOOGLETRANSLATE(A1101, ""de"", ""uk"")"),"передчуття")</f>
        <v>передчуття</v>
      </c>
    </row>
    <row r="1102" ht="15.75" customHeight="1">
      <c r="A1102" s="1" t="s">
        <v>1075</v>
      </c>
      <c r="B1102" s="2" t="str">
        <f>IFERROR(__xludf.DUMMYFUNCTION("GOOGLETRANSLATE(A1102, ""de"", ""uk"")"),"допомога")</f>
        <v>допомога</v>
      </c>
    </row>
    <row r="1103" ht="15.75" customHeight="1">
      <c r="A1103" s="1" t="s">
        <v>1076</v>
      </c>
      <c r="B1103" s="2" t="str">
        <f>IFERROR(__xludf.DUMMYFUNCTION("GOOGLETRANSLATE(A1103, ""de"", ""uk"")"),"Страхова картка")</f>
        <v>Страхова картка</v>
      </c>
    </row>
    <row r="1104" ht="15.75" customHeight="1">
      <c r="A1104" s="1" t="s">
        <v>1077</v>
      </c>
      <c r="B1104" s="2" t="str">
        <f>IFERROR(__xludf.DUMMYFUNCTION("GOOGLETRANSLATE(A1104, ""de"", ""uk"")"),"обережність")</f>
        <v>обережність</v>
      </c>
    </row>
    <row r="1105" ht="15.75" customHeight="1">
      <c r="A1105" s="1" t="s">
        <v>1078</v>
      </c>
      <c r="B1105" s="2" t="str">
        <f>IFERROR(__xludf.DUMMYFUNCTION("GOOGLETRANSLATE(A1105, ""de"", ""uk"")"),"алкоголь")</f>
        <v>алкоголь</v>
      </c>
    </row>
    <row r="1106" ht="15.75" customHeight="1">
      <c r="A1106" s="1" t="s">
        <v>1079</v>
      </c>
      <c r="B1106" s="2" t="str">
        <f>IFERROR(__xludf.DUMMYFUNCTION("GOOGLETRANSLATE(A1106, ""de"", ""uk"")"),"холод")</f>
        <v>холод</v>
      </c>
    </row>
    <row r="1107" ht="15.75" customHeight="1">
      <c r="A1107" s="1" t="s">
        <v>1080</v>
      </c>
      <c r="B1107" s="2" t="str">
        <f>IFERROR(__xludf.DUMMYFUNCTION("GOOGLETRANSLATE(A1107, ""de"", ""uk"")"),"поліпшення")</f>
        <v>поліпшення</v>
      </c>
    </row>
    <row r="1108" ht="15.75" customHeight="1">
      <c r="A1108" s="1" t="s">
        <v>1081</v>
      </c>
      <c r="B1108" s="2" t="str">
        <f>IFERROR(__xludf.DUMMYFUNCTION("GOOGLETRANSLATE(A1108, ""de"", ""uk"")"),"мазь")</f>
        <v>мазь</v>
      </c>
    </row>
    <row r="1109" ht="15.75" customHeight="1">
      <c r="A1109" s="1" t="s">
        <v>1082</v>
      </c>
      <c r="B1109" s="2" t="str">
        <f>IFERROR(__xludf.DUMMYFUNCTION("GOOGLETRANSLATE(A1109, ""de"", ""uk"")"),"прогулянка")</f>
        <v>прогулянка</v>
      </c>
    </row>
    <row r="1110" ht="15.75" customHeight="1">
      <c r="A1110" s="1" t="s">
        <v>1083</v>
      </c>
      <c r="B1110" s="2" t="str">
        <f>IFERROR(__xludf.DUMMYFUNCTION("GOOGLETRANSLATE(A1110, ""de"", ""uk"")"),"кінчик")</f>
        <v>кінчик</v>
      </c>
    </row>
    <row r="1111" ht="15.75" customHeight="1">
      <c r="A1111" s="1" t="s">
        <v>1084</v>
      </c>
      <c r="B1111" s="2" t="str">
        <f>IFERROR(__xludf.DUMMYFUNCTION("GOOGLETRANSLATE(A1111, ""de"", ""uk"")"),"ситуація")</f>
        <v>ситуація</v>
      </c>
    </row>
    <row r="1112" ht="15.75" customHeight="1">
      <c r="A1112" s="1" t="s">
        <v>1085</v>
      </c>
      <c r="B1112" s="2" t="str">
        <f>IFERROR(__xludf.DUMMYFUNCTION("GOOGLETRANSLATE(A1112, ""de"", ""uk"")"),"аварійна служба")</f>
        <v>аварійна служба</v>
      </c>
    </row>
    <row r="1113" ht="15.75" customHeight="1">
      <c r="A1113" s="1" t="s">
        <v>1086</v>
      </c>
      <c r="B1113" s="2" t="str">
        <f>IFERROR(__xludf.DUMMYFUNCTION("GOOGLETRANSLATE(A1113, ""de"", ""uk"")"),"номер екстреної допомоги")</f>
        <v>номер екстреної допомоги</v>
      </c>
    </row>
    <row r="1114" ht="15.75" customHeight="1">
      <c r="A1114" s="1" t="s">
        <v>1087</v>
      </c>
      <c r="B1114" s="2" t="str">
        <f>IFERROR(__xludf.DUMMYFUNCTION("GOOGLETRANSLATE(A1114, ""de"", ""uk"")"),"Не курить")</f>
        <v>Не курить</v>
      </c>
    </row>
    <row r="1115" ht="15.75" customHeight="1">
      <c r="A1115" s="1" t="s">
        <v>1088</v>
      </c>
      <c r="B1115" s="2" t="str">
        <f>IFERROR(__xludf.DUMMYFUNCTION("GOOGLETRANSLATE(A1115, ""de"", ""uk"")"),"тіло")</f>
        <v>тіло</v>
      </c>
    </row>
    <row r="1116" ht="15.75" customHeight="1">
      <c r="A1116" s="1" t="s">
        <v>1089</v>
      </c>
      <c r="B1116" s="2" t="str">
        <f>IFERROR(__xludf.DUMMYFUNCTION("GOOGLETRANSLATE(A1116, ""de"", ""uk"")"),"голова")</f>
        <v>голова</v>
      </c>
    </row>
    <row r="1117" ht="15.75" customHeight="1">
      <c r="A1117" s="1" t="s">
        <v>1090</v>
      </c>
      <c r="B1117" s="2" t="str">
        <f>IFERROR(__xludf.DUMMYFUNCTION("GOOGLETRANSLATE(A1117, ""de"", ""uk"")"),"груди")</f>
        <v>груди</v>
      </c>
    </row>
    <row r="1118" ht="15.75" customHeight="1">
      <c r="A1118" s="1" t="s">
        <v>1091</v>
      </c>
      <c r="B1118" s="2" t="str">
        <f>IFERROR(__xludf.DUMMYFUNCTION("GOOGLETRANSLATE(A1118, ""de"", ""uk"")"),"нога")</f>
        <v>нога</v>
      </c>
    </row>
    <row r="1119" ht="15.75" customHeight="1">
      <c r="A1119" s="1" t="s">
        <v>1092</v>
      </c>
      <c r="B1119" s="2" t="str">
        <f>IFERROR(__xludf.DUMMYFUNCTION("GOOGLETRANSLATE(A1119, ""de"", ""uk"")"),"стопа")</f>
        <v>стопа</v>
      </c>
    </row>
    <row r="1120" ht="15.75" customHeight="1">
      <c r="A1120" s="1" t="s">
        <v>1093</v>
      </c>
      <c r="B1120" s="2" t="str">
        <f>IFERROR(__xludf.DUMMYFUNCTION("GOOGLETRANSLATE(A1120, ""de"", ""uk"")"),"шия")</f>
        <v>шия</v>
      </c>
    </row>
    <row r="1121" ht="15.75" customHeight="1">
      <c r="A1121" s="1" t="s">
        <v>1094</v>
      </c>
      <c r="B1121" s="2" t="str">
        <f>IFERROR(__xludf.DUMMYFUNCTION("GOOGLETRANSLATE(A1121, ""de"", ""uk"")"),"шлунок")</f>
        <v>шлунок</v>
      </c>
    </row>
    <row r="1122" ht="15.75" customHeight="1">
      <c r="A1122" s="1" t="s">
        <v>1095</v>
      </c>
      <c r="B1122" s="2" t="str">
        <f>IFERROR(__xludf.DUMMYFUNCTION("GOOGLETRANSLATE(A1122, ""de"", ""uk"")"),"коліно")</f>
        <v>коліно</v>
      </c>
    </row>
    <row r="1123" ht="15.75" customHeight="1">
      <c r="A1123" s="1" t="s">
        <v>1096</v>
      </c>
      <c r="B1123" s="2" t="str">
        <f>IFERROR(__xludf.DUMMYFUNCTION("GOOGLETRANSLATE(A1123, ""de"", ""uk"")"),"палець ноги")</f>
        <v>палець ноги</v>
      </c>
    </row>
    <row r="1124" ht="15.75" customHeight="1">
      <c r="A1124" s="1" t="s">
        <v>1097</v>
      </c>
      <c r="B1124" s="2" t="str">
        <f>IFERROR(__xludf.DUMMYFUNCTION("GOOGLETRANSLATE(A1124, ""de"", ""uk"")"),"спина")</f>
        <v>спина</v>
      </c>
    </row>
    <row r="1125" ht="15.75" customHeight="1">
      <c r="A1125" s="1" t="s">
        <v>1098</v>
      </c>
      <c r="B1125" s="2" t="str">
        <f>IFERROR(__xludf.DUMMYFUNCTION("GOOGLETRANSLATE(A1125, ""de"", ""uk"")"),"плече")</f>
        <v>плече</v>
      </c>
    </row>
    <row r="1126" ht="15.75" customHeight="1">
      <c r="A1126" s="1" t="s">
        <v>1099</v>
      </c>
      <c r="B1126" s="2" t="str">
        <f>IFERROR(__xludf.DUMMYFUNCTION("GOOGLETRANSLATE(A1126, ""de"", ""uk"")"),"рука")</f>
        <v>рука</v>
      </c>
    </row>
    <row r="1127" ht="15.75" customHeight="1">
      <c r="A1127" s="1" t="s">
        <v>1100</v>
      </c>
      <c r="B1127" s="2" t="str">
        <f>IFERROR(__xludf.DUMMYFUNCTION("GOOGLETRANSLATE(A1127, ""de"", ""uk"")"),"лікоть")</f>
        <v>лікоть</v>
      </c>
    </row>
    <row r="1128" ht="15.75" customHeight="1">
      <c r="A1128" s="1" t="s">
        <v>1101</v>
      </c>
      <c r="B1128" s="2" t="str">
        <f>IFERROR(__xludf.DUMMYFUNCTION("GOOGLETRANSLATE(A1128, ""de"", ""uk"")"),"палець")</f>
        <v>палець</v>
      </c>
    </row>
    <row r="1129" ht="15.75" customHeight="1">
      <c r="A1129" s="1" t="s">
        <v>1102</v>
      </c>
      <c r="B1129" s="2" t="str">
        <f>IFERROR(__xludf.DUMMYFUNCTION("GOOGLETRANSLATE(A1129, ""de"", ""uk"")"),"руку")</f>
        <v>руку</v>
      </c>
    </row>
    <row r="1130" ht="15.75" customHeight="1">
      <c r="A1130" s="1" t="s">
        <v>1103</v>
      </c>
      <c r="B1130" s="2" t="str">
        <f>IFERROR(__xludf.DUMMYFUNCTION("GOOGLETRANSLATE(A1130, ""de"", ""uk"")"),"PO")</f>
        <v>PO</v>
      </c>
    </row>
    <row r="1131" ht="15.75" customHeight="1">
      <c r="A1131" s="1" t="s">
        <v>1104</v>
      </c>
      <c r="B1131" s="2" t="str">
        <f>IFERROR(__xludf.DUMMYFUNCTION("GOOGLETRANSLATE(A1131, ""de"", ""uk"")"),"обличчя")</f>
        <v>обличчя</v>
      </c>
    </row>
    <row r="1132" ht="15.75" customHeight="1">
      <c r="A1132" s="1" t="s">
        <v>1105</v>
      </c>
      <c r="B1132" s="2" t="str">
        <f>IFERROR(__xludf.DUMMYFUNCTION("GOOGLETRANSLATE(A1132, ""de"", ""uk"")"),"волосся")</f>
        <v>волосся</v>
      </c>
    </row>
    <row r="1133" ht="15.75" customHeight="1">
      <c r="A1133" s="1" t="s">
        <v>1106</v>
      </c>
      <c r="B1133" s="2" t="str">
        <f>IFERROR(__xludf.DUMMYFUNCTION("GOOGLETRANSLATE(A1133, ""de"", ""uk"")"),"ніс")</f>
        <v>ніс</v>
      </c>
    </row>
    <row r="1134" ht="15.75" customHeight="1">
      <c r="A1134" s="1" t="s">
        <v>1107</v>
      </c>
      <c r="B1134" s="2" t="str">
        <f>IFERROR(__xludf.DUMMYFUNCTION("GOOGLETRANSLATE(A1134, ""de"", ""uk"")"),"рот")</f>
        <v>рот</v>
      </c>
    </row>
    <row r="1135" ht="15.75" customHeight="1">
      <c r="A1135" s="1" t="s">
        <v>1108</v>
      </c>
      <c r="B1135" s="2" t="str">
        <f>IFERROR(__xludf.DUMMYFUNCTION("GOOGLETRANSLATE(A1135, ""de"", ""uk"")"),"губа")</f>
        <v>губа</v>
      </c>
    </row>
    <row r="1136" ht="15.75" customHeight="1">
      <c r="A1136" s="1" t="s">
        <v>1109</v>
      </c>
      <c r="B1136" s="2" t="str">
        <f>IFERROR(__xludf.DUMMYFUNCTION("GOOGLETRANSLATE(A1136, ""de"", ""uk"")"),"зуб")</f>
        <v>зуб</v>
      </c>
    </row>
    <row r="1137" ht="15.75" customHeight="1">
      <c r="A1137" s="1" t="s">
        <v>1110</v>
      </c>
      <c r="B1137" s="2" t="str">
        <f>IFERROR(__xludf.DUMMYFUNCTION("GOOGLETRANSLATE(A1137, ""de"", ""uk"")"),"язик")</f>
        <v>язик</v>
      </c>
    </row>
    <row r="1138" ht="15.75" customHeight="1">
      <c r="A1138" s="1" t="s">
        <v>1111</v>
      </c>
      <c r="B1138" s="2" t="str">
        <f>IFERROR(__xludf.DUMMYFUNCTION("GOOGLETRANSLATE(A1138, ""de"", ""uk"")"),"вухо")</f>
        <v>вухо</v>
      </c>
    </row>
    <row r="1139" ht="15.75" customHeight="1">
      <c r="A1139" s="1" t="s">
        <v>1112</v>
      </c>
      <c r="B1139" s="2" t="str">
        <f>IFERROR(__xludf.DUMMYFUNCTION("GOOGLETRANSLATE(A1139, ""de"", ""uk"")"),"око")</f>
        <v>око</v>
      </c>
    </row>
    <row r="1140" ht="15.75" customHeight="1">
      <c r="A1140" s="1" t="s">
        <v>1113</v>
      </c>
      <c r="B1140" s="2" t="str">
        <f>IFERROR(__xludf.DUMMYFUNCTION("GOOGLETRANSLATE(A1140, ""de"", ""uk"")"),"шкіра")</f>
        <v>шкіра</v>
      </c>
    </row>
    <row r="1141" ht="15.75" customHeight="1">
      <c r="A1141" s="1" t="s">
        <v>1114</v>
      </c>
      <c r="B1141" s="2" t="str">
        <f>IFERROR(__xludf.DUMMYFUNCTION("GOOGLETRANSLATE(A1141, ""de"", ""uk"")"),"серце")</f>
        <v>серце</v>
      </c>
    </row>
    <row r="1142" ht="15.75" customHeight="1">
      <c r="A1142" s="1" t="s">
        <v>1115</v>
      </c>
      <c r="B1142" s="2" t="str">
        <f>IFERROR(__xludf.DUMMYFUNCTION("GOOGLETRANSLATE(A1142, ""de"", ""uk"")"),"біль")</f>
        <v>біль</v>
      </c>
    </row>
    <row r="1143" ht="15.75" customHeight="1">
      <c r="A1143" s="1" t="s">
        <v>1116</v>
      </c>
      <c r="B1143" s="2" t="str">
        <f>IFERROR(__xludf.DUMMYFUNCTION("GOOGLETRANSLATE(A1143, ""de"", ""uk"")"),"лихоманка")</f>
        <v>лихоманка</v>
      </c>
    </row>
    <row r="1144" ht="15.75" customHeight="1">
      <c r="A1144" s="1" t="s">
        <v>1117</v>
      </c>
      <c r="B1144" s="2" t="str">
        <f>IFERROR(__xludf.DUMMYFUNCTION("GOOGLETRANSLATE(A1144, ""de"", ""uk"")"),"кров")</f>
        <v>кров</v>
      </c>
    </row>
    <row r="1145" ht="15.75" customHeight="1">
      <c r="A1145" s="1" t="s">
        <v>1118</v>
      </c>
      <c r="B1145" s="2" t="str">
        <f>IFERROR(__xludf.DUMMYFUNCTION("GOOGLETRANSLATE(A1145, ""de"", ""uk"")"),"захворювання")</f>
        <v>захворювання</v>
      </c>
    </row>
    <row r="1146" ht="15.75" customHeight="1">
      <c r="A1146" s="1" t="s">
        <v>1119</v>
      </c>
      <c r="B1146" s="2" t="str">
        <f>IFERROR(__xludf.DUMMYFUNCTION("GOOGLETRANSLATE(A1146, ""de"", ""uk"")"),"здоров'я")</f>
        <v>здоров'я</v>
      </c>
    </row>
    <row r="1147" ht="15.75" customHeight="1">
      <c r="A1147" s="1" t="s">
        <v>1120</v>
      </c>
      <c r="B1147" s="2" t="str">
        <f>IFERROR(__xludf.DUMMYFUNCTION("GOOGLETRANSLATE(A1147, ""de"", ""uk"")"),"кашель")</f>
        <v>кашель</v>
      </c>
    </row>
    <row r="1148" ht="15.75" customHeight="1">
      <c r="A1148" s="1" t="s">
        <v>1121</v>
      </c>
      <c r="B1148" s="2" t="str">
        <f>IFERROR(__xludf.DUMMYFUNCTION("GOOGLETRANSLATE(A1148, ""de"", ""uk"")"),"дієта")</f>
        <v>дієта</v>
      </c>
    </row>
    <row r="1149" ht="15.75" customHeight="1">
      <c r="A1149" s="1" t="s">
        <v>1122</v>
      </c>
      <c r="B1149" s="2" t="str">
        <f>IFERROR(__xludf.DUMMYFUNCTION("GOOGLETRANSLATE(A1149, ""de"", ""uk"")"),"холод")</f>
        <v>холод</v>
      </c>
    </row>
    <row r="1150" ht="15.75" customHeight="1">
      <c r="A1150" s="1" t="s">
        <v>1123</v>
      </c>
      <c r="B1150" s="2" t="str">
        <f>IFERROR(__xludf.DUMMYFUNCTION("GOOGLETRANSLATE(A1150, ""de"", ""uk"")"),"рух")</f>
        <v>рух</v>
      </c>
    </row>
    <row r="1151" ht="15.75" customHeight="1">
      <c r="A1151" s="1" t="s">
        <v>1124</v>
      </c>
      <c r="B1151" s="2" t="str">
        <f>IFERROR(__xludf.DUMMYFUNCTION("GOOGLETRANSLATE(A1151, ""de"", ""uk"")"),"в")</f>
        <v>в</v>
      </c>
    </row>
    <row r="1152" ht="15.75" customHeight="1">
      <c r="A1152" s="1" t="s">
        <v>1125</v>
      </c>
      <c r="B1152" s="2" t="str">
        <f>IFERROR(__xludf.DUMMYFUNCTION("GOOGLETRANSLATE(A1152, ""de"", ""uk"")"),"звичайно")</f>
        <v>звичайно</v>
      </c>
    </row>
    <row r="1153" ht="15.75" customHeight="1">
      <c r="A1153" s="1" t="s">
        <v>1126</v>
      </c>
      <c r="B1153" s="2" t="str">
        <f>IFERROR(__xludf.DUMMYFUNCTION("GOOGLETRANSLATE(A1153, ""de"", ""uk"")"),"найкращий")</f>
        <v>найкращий</v>
      </c>
    </row>
    <row r="1154" ht="15.75" customHeight="1">
      <c r="A1154" s="1" t="s">
        <v>1127</v>
      </c>
      <c r="B1154" s="2" t="str">
        <f>IFERROR(__xludf.DUMMYFUNCTION("GOOGLETRANSLATE(A1154, ""de"", ""uk"")"),"іноді")</f>
        <v>іноді</v>
      </c>
    </row>
    <row r="1155" ht="15.75" customHeight="1">
      <c r="A1155" s="1" t="s">
        <v>1128</v>
      </c>
      <c r="B1155" s="2" t="str">
        <f>IFERROR(__xludf.DUMMYFUNCTION("GOOGLETRANSLATE(A1155, ""de"", ""uk"")"),"в основному")</f>
        <v>в основному</v>
      </c>
    </row>
    <row r="1156" ht="15.75" customHeight="1">
      <c r="A1156" s="1" t="s">
        <v>268</v>
      </c>
      <c r="B1156" s="2" t="str">
        <f>IFERROR(__xludf.DUMMYFUNCTION("GOOGLETRANSLATE(A1156, ""de"", ""uk"")"),"просто")</f>
        <v>просто</v>
      </c>
    </row>
    <row r="1157" ht="15.75" customHeight="1">
      <c r="A1157" s="1" t="s">
        <v>1129</v>
      </c>
      <c r="B1157" s="2" t="str">
        <f>IFERROR(__xludf.DUMMYFUNCTION("GOOGLETRANSLATE(A1157, ""de"", ""uk"")"),"це")</f>
        <v>це</v>
      </c>
    </row>
    <row r="1158" ht="15.75" customHeight="1">
      <c r="A1158" s="1" t="s">
        <v>1130</v>
      </c>
      <c r="B1158" s="2" t="str">
        <f>IFERROR(__xludf.DUMMYFUNCTION("GOOGLETRANSLATE(A1158, ""de"", ""uk"")"),"нарешті")</f>
        <v>нарешті</v>
      </c>
    </row>
    <row r="1159" ht="15.75" customHeight="1">
      <c r="A1159" s="1" t="s">
        <v>1131</v>
      </c>
      <c r="B1159" s="2" t="str">
        <f>IFERROR(__xludf.DUMMYFUNCTION("GOOGLETRANSLATE(A1159, ""de"", ""uk"")"),"нарешті")</f>
        <v>нарешті</v>
      </c>
    </row>
    <row r="1160" ht="15.75" customHeight="1">
      <c r="A1160" s="1" t="s">
        <v>1132</v>
      </c>
      <c r="B1160" s="2" t="str">
        <f>IFERROR(__xludf.DUMMYFUNCTION("GOOGLETRANSLATE(A1160, ""de"", ""uk"")"),"інакше")</f>
        <v>інакше</v>
      </c>
    </row>
    <row r="1161" ht="15.75" customHeight="1">
      <c r="A1161" s="1" t="s">
        <v>1133</v>
      </c>
      <c r="B1161" s="2" t="str">
        <f>IFERROR(__xludf.DUMMYFUNCTION("GOOGLETRANSLATE(A1161, ""de"", ""uk"")"),"вже")</f>
        <v>вже</v>
      </c>
    </row>
    <row r="1162" ht="15.75" customHeight="1">
      <c r="A1162" s="1" t="s">
        <v>1134</v>
      </c>
      <c r="B1162" s="2" t="str">
        <f>IFERROR(__xludf.DUMMYFUNCTION("GOOGLETRANSLATE(A1162, ""de"", ""uk"")"),"з цієї причини")</f>
        <v>з цієї причини</v>
      </c>
    </row>
    <row r="1163" ht="15.75" customHeight="1">
      <c r="A1163" s="1" t="s">
        <v>1135</v>
      </c>
      <c r="B1163" s="2" t="str">
        <f>IFERROR(__xludf.DUMMYFUNCTION("GOOGLETRANSLATE(A1163, ""de"", ""uk"")"),"сподіваюся")</f>
        <v>сподіваюся</v>
      </c>
    </row>
    <row r="1164" ht="15.75" customHeight="1">
      <c r="A1164" s="1" t="s">
        <v>1136</v>
      </c>
      <c r="B1164" s="2" t="str">
        <f>IFERROR(__xludf.DUMMYFUNCTION("GOOGLETRANSLATE(A1164, ""de"", ""uk"")"),"ніколи")</f>
        <v>ніколи</v>
      </c>
    </row>
    <row r="1165" ht="15.75" customHeight="1">
      <c r="A1165" s="1" t="s">
        <v>1137</v>
      </c>
      <c r="B1165" s="2" t="str">
        <f>IFERROR(__xludf.DUMMYFUNCTION("GOOGLETRANSLATE(A1165, ""de"", ""uk"")"),"з ним")</f>
        <v>з ним</v>
      </c>
    </row>
    <row r="1166" ht="15.75" customHeight="1">
      <c r="A1166" s="1" t="s">
        <v>1138</v>
      </c>
      <c r="B1166" s="2" t="str">
        <f>IFERROR(__xludf.DUMMYFUNCTION("GOOGLETRANSLATE(A1166, ""de"", ""uk"")"),"здоровий")</f>
        <v>здоровий</v>
      </c>
    </row>
    <row r="1167" ht="15.75" customHeight="1">
      <c r="A1167" s="1" t="s">
        <v>1139</v>
      </c>
      <c r="B1167" s="2" t="str">
        <f>IFERROR(__xludf.DUMMYFUNCTION("GOOGLETRANSLATE(A1167, ""de"", ""uk"")"),"хворий")</f>
        <v>хворий</v>
      </c>
    </row>
    <row r="1168" ht="15.75" customHeight="1">
      <c r="A1168" s="1" t="s">
        <v>1140</v>
      </c>
      <c r="B1168" s="2" t="str">
        <f>IFERROR(__xludf.DUMMYFUNCTION("GOOGLETRANSLATE(A1168, ""de"", ""uk"")"),"мертвий")</f>
        <v>мертвий</v>
      </c>
    </row>
    <row r="1169" ht="15.75" customHeight="1">
      <c r="A1169" s="1" t="s">
        <v>1141</v>
      </c>
      <c r="B1169" s="2" t="str">
        <f>IFERROR(__xludf.DUMMYFUNCTION("GOOGLETRANSLATE(A1169, ""de"", ""uk"")"),"товстий")</f>
        <v>товстий</v>
      </c>
    </row>
    <row r="1170" ht="15.75" customHeight="1">
      <c r="A1170" s="1" t="s">
        <v>1142</v>
      </c>
      <c r="B1170" s="2" t="str">
        <f>IFERROR(__xludf.DUMMYFUNCTION("GOOGLETRANSLATE(A1170, ""de"", ""uk"")"),"тонкий")</f>
        <v>тонкий</v>
      </c>
    </row>
    <row r="1171" ht="15.75" customHeight="1">
      <c r="A1171" s="1" t="s">
        <v>1143</v>
      </c>
      <c r="B1171" s="2" t="str">
        <f>IFERROR(__xludf.DUMMYFUNCTION("GOOGLETRANSLATE(A1171, ""de"", ""uk"")"),"великий")</f>
        <v>великий</v>
      </c>
    </row>
    <row r="1172" ht="15.75" customHeight="1">
      <c r="A1172" s="1" t="s">
        <v>1144</v>
      </c>
      <c r="B1172" s="2" t="str">
        <f>IFERROR(__xludf.DUMMYFUNCTION("GOOGLETRANSLATE(A1172, ""de"", ""uk"")"),"маленький")</f>
        <v>маленький</v>
      </c>
    </row>
    <row r="1173" ht="15.75" customHeight="1">
      <c r="A1173" s="1" t="s">
        <v>1145</v>
      </c>
      <c r="B1173" s="2" t="str">
        <f>IFERROR(__xludf.DUMMYFUNCTION("GOOGLETRANSLATE(A1173, ""de"", ""uk"")"),"часто")</f>
        <v>часто</v>
      </c>
    </row>
    <row r="1174" ht="15.75" customHeight="1">
      <c r="A1174" s="1" t="s">
        <v>1146</v>
      </c>
      <c r="B1174" s="2" t="str">
        <f>IFERROR(__xludf.DUMMYFUNCTION("GOOGLETRANSLATE(A1174, ""de"", ""uk"")"),"нездоровий")</f>
        <v>нездоровий</v>
      </c>
    </row>
    <row r="1175" ht="15.75" customHeight="1">
      <c r="A1175" s="1" t="s">
        <v>1147</v>
      </c>
      <c r="B1175" s="2" t="str">
        <f>IFERROR(__xludf.DUMMYFUNCTION("GOOGLETRANSLATE(A1175, ""de"", ""uk"")"),"важливо")</f>
        <v>важливо</v>
      </c>
    </row>
    <row r="1176" ht="15.75" customHeight="1">
      <c r="A1176" s="1" t="s">
        <v>1148</v>
      </c>
      <c r="B1176" s="2" t="str">
        <f>IFERROR(__xludf.DUMMYFUNCTION("GOOGLETRANSLATE(A1176, ""de"", ""uk"")"),"раптово")</f>
        <v>раптово</v>
      </c>
    </row>
    <row r="1177" ht="15.75" customHeight="1">
      <c r="A1177" s="1" t="s">
        <v>1149</v>
      </c>
      <c r="B1177" s="2" t="str">
        <f>IFERROR(__xludf.DUMMYFUNCTION("GOOGLETRANSLATE(A1177, ""de"", ""uk"")"),"жахливий")</f>
        <v>жахливий</v>
      </c>
    </row>
    <row r="1178" ht="15.75" customHeight="1">
      <c r="A1178" s="1" t="s">
        <v>1150</v>
      </c>
      <c r="B1178" s="2" t="str">
        <f>IFERROR(__xludf.DUMMYFUNCTION("GOOGLETRANSLATE(A1178, ""de"", ""uk"")"),"особистий")</f>
        <v>особистий</v>
      </c>
    </row>
    <row r="1179" ht="15.75" customHeight="1">
      <c r="A1179" s="1" t="s">
        <v>1151</v>
      </c>
      <c r="B1179" s="2" t="str">
        <f>IFERROR(__xludf.DUMMYFUNCTION("GOOGLETRANSLATE(A1179, ""de"", ""uk"")"),"рідко")</f>
        <v>рідко</v>
      </c>
    </row>
    <row r="1180" ht="15.75" customHeight="1">
      <c r="A1180" s="1" t="s">
        <v>1152</v>
      </c>
      <c r="B1180" s="2" t="str">
        <f>IFERROR(__xludf.DUMMYFUNCTION("GOOGLETRANSLATE(A1180, ""de"", ""uk"")"),"можливо")</f>
        <v>можливо</v>
      </c>
    </row>
    <row r="1181" ht="15.75" customHeight="1">
      <c r="A1181" s="1" t="s">
        <v>1153</v>
      </c>
      <c r="B1181" s="2" t="str">
        <f>IFERROR(__xludf.DUMMYFUNCTION("GOOGLETRANSLATE(A1181, ""de"", ""uk"")"),"активний")</f>
        <v>активний</v>
      </c>
    </row>
    <row r="1182" ht="15.75" customHeight="1">
      <c r="A1182" s="1" t="s">
        <v>1154</v>
      </c>
      <c r="B1182" s="2" t="str">
        <f>IFERROR(__xludf.DUMMYFUNCTION("GOOGLETRANSLATE(A1182, ""de"", ""uk"")"),"нормально")</f>
        <v>нормально</v>
      </c>
    </row>
    <row r="1183" ht="15.75" customHeight="1">
      <c r="A1183" s="1" t="s">
        <v>1155</v>
      </c>
      <c r="B1183" s="2" t="str">
        <f>IFERROR(__xludf.DUMMYFUNCTION("GOOGLETRANSLATE(A1183, ""de"", ""uk"")"),"тонкий")</f>
        <v>тонкий</v>
      </c>
    </row>
    <row r="1184" ht="15.75" customHeight="1">
      <c r="A1184" s="1" t="s">
        <v>1156</v>
      </c>
      <c r="B1184" s="2" t="str">
        <f>IFERROR(__xludf.DUMMYFUNCTION("GOOGLETRANSLATE(A1184, ""de"", ""uk"")"),"регулярно")</f>
        <v>регулярно</v>
      </c>
    </row>
    <row r="1185" ht="15.75" customHeight="1">
      <c r="A1185" s="1" t="s">
        <v>1157</v>
      </c>
      <c r="B1185" s="2" t="str">
        <f>IFERROR(__xludf.DUMMYFUNCTION("GOOGLETRANSLATE(A1185, ""de"", ""uk"")"),"Увечері дитина приймає душ.")</f>
        <v>Увечері дитина приймає душ.</v>
      </c>
    </row>
    <row r="1186" ht="15.75" customHeight="1">
      <c r="A1186" s="1" t="s">
        <v>1158</v>
      </c>
      <c r="B1186" s="2" t="str">
        <f>IFERROR(__xludf.DUMMYFUNCTION("GOOGLETRANSLATE(A1186, ""de"", ""uk"")"),"Жінка ніколи не купається.")</f>
        <v>Жінка ніколи не купається.</v>
      </c>
    </row>
    <row r="1187" ht="15.75" customHeight="1">
      <c r="A1187" s="1" t="s">
        <v>1159</v>
      </c>
      <c r="B1187" s="2" t="str">
        <f>IFERROR(__xludf.DUMMYFUNCTION("GOOGLETRANSLATE(A1187, ""de"", ""uk"")"),"Чоловік розчісує волосся.")</f>
        <v>Чоловік розчісує волосся.</v>
      </c>
    </row>
    <row r="1188" ht="15.75" customHeight="1">
      <c r="A1188" s="1" t="s">
        <v>1160</v>
      </c>
      <c r="B1188" s="2" t="str">
        <f>IFERROR(__xludf.DUMMYFUNCTION("GOOGLETRANSLATE(A1188, ""de"", ""uk"")"),"Я завжди голюся вранці.")</f>
        <v>Я завжди голюся вранці.</v>
      </c>
    </row>
    <row r="1189" ht="15.75" customHeight="1">
      <c r="A1189" s="1" t="s">
        <v>1161</v>
      </c>
      <c r="B1189" s="2" t="str">
        <f>IFERROR(__xludf.DUMMYFUNCTION("GOOGLETRANSLATE(A1189, ""de"", ""uk"")"),"Дитина курить сигарету.")</f>
        <v>Дитина курить сигарету.</v>
      </c>
    </row>
    <row r="1190" ht="15.75" customHeight="1">
      <c r="A1190" s="1" t="s">
        <v>1162</v>
      </c>
      <c r="B1190" s="2" t="str">
        <f>IFERROR(__xludf.DUMMYFUNCTION("GOOGLETRANSLATE(A1190, ""de"", ""uk"")"),"Ваші ноги погано пахнуть.")</f>
        <v>Ваші ноги погано пахнуть.</v>
      </c>
    </row>
    <row r="1191" ht="15.75" customHeight="1">
      <c r="A1191" s="1" t="s">
        <v>1163</v>
      </c>
      <c r="B1191" s="2" t="str">
        <f>IFERROR(__xludf.DUMMYFUNCTION("GOOGLETRANSLATE(A1191, ""de"", ""uk"")"),"Їжа дуже смакує.")</f>
        <v>Їжа дуже смакує.</v>
      </c>
    </row>
    <row r="1192" ht="15.75" customHeight="1">
      <c r="A1192" s="1" t="s">
        <v>1164</v>
      </c>
      <c r="B1192" s="2" t="str">
        <f>IFERROR(__xludf.DUMMYFUNCTION("GOOGLETRANSLATE(A1192, ""de"", ""uk"")"),"Пацієнт сидить у приймальні.")</f>
        <v>Пацієнт сидить у приймальні.</v>
      </c>
    </row>
    <row r="1193" ht="15.75" customHeight="1">
      <c r="A1193" s="1" t="s">
        <v>1165</v>
      </c>
      <c r="B1193" s="2" t="str">
        <f>IFERROR(__xludf.DUMMYFUNCTION("GOOGLETRANSLATE(A1193, ""de"", ""uk"")"),"Стою на обох ногах.")</f>
        <v>Стою на обох ногах.</v>
      </c>
    </row>
    <row r="1194" ht="15.75" customHeight="1">
      <c r="A1194" s="1" t="s">
        <v>1166</v>
      </c>
      <c r="B1194" s="2" t="str">
        <f>IFERROR(__xludf.DUMMYFUNCTION("GOOGLETRANSLATE(A1194, ""de"", ""uk"")"),"Чекаю медсестру.")</f>
        <v>Чекаю медсестру.</v>
      </c>
    </row>
    <row r="1195" ht="15.75" customHeight="1">
      <c r="A1195" s="1" t="s">
        <v>1167</v>
      </c>
      <c r="B1195" s="2" t="str">
        <f>IFERROR(__xludf.DUMMYFUNCTION("GOOGLETRANSLATE(A1195, ""de"", ""uk"")"),"У мене живіт болить.")</f>
        <v>У мене живіт болить.</v>
      </c>
    </row>
    <row r="1196" ht="15.75" customHeight="1">
      <c r="A1196" s="1" t="s">
        <v>1168</v>
      </c>
      <c r="B1196" s="2" t="str">
        <f>IFERROR(__xludf.DUMMYFUNCTION("GOOGLETRANSLATE(A1196, ""de"", ""uk"")"),"Лікар дивиться на моє тіло.")</f>
        <v>Лікар дивиться на моє тіло.</v>
      </c>
    </row>
    <row r="1197" ht="15.75" customHeight="1">
      <c r="A1197" s="4" t="s">
        <v>1169</v>
      </c>
      <c r="B1197" s="2" t="str">
        <f>IFERROR(__xludf.DUMMYFUNCTION("GOOGLETRANSLATE(A1197, ""de"", ""uk"")"),"Мила немає.")</f>
        <v>Мила немає.</v>
      </c>
    </row>
    <row r="1198" ht="15.75" customHeight="1">
      <c r="A1198" s="1" t="s">
        <v>1170</v>
      </c>
      <c r="B1198" s="2" t="str">
        <f>IFERROR(__xludf.DUMMYFUNCTION("GOOGLETRANSLATE(A1198, ""de"", ""uk"")"),"Довго звертатися до лікаря.")</f>
        <v>Довго звертатися до лікаря.</v>
      </c>
    </row>
    <row r="1199" ht="15.75" customHeight="1">
      <c r="A1199" s="1" t="s">
        <v>1171</v>
      </c>
      <c r="B1199" s="2" t="str">
        <f>IFERROR(__xludf.DUMMYFUNCTION("GOOGLETRANSLATE(A1199, ""de"", ""uk"")"),"Скажи мені, де болить.")</f>
        <v>Скажи мені, де болить.</v>
      </c>
    </row>
    <row r="1200" ht="15.75" customHeight="1">
      <c r="A1200" s="1" t="s">
        <v>1172</v>
      </c>
      <c r="B1200" s="2" t="str">
        <f>IFERROR(__xludf.DUMMYFUNCTION("GOOGLETRANSLATE(A1200, ""de"", ""uk"")"),"Будь ласка, вкажіть картку страхування при реєстрації.")</f>
        <v>Будь ласка, вкажіть картку страхування при реєстрації.</v>
      </c>
    </row>
    <row r="1201" ht="15.75" customHeight="1">
      <c r="A1201" s="1" t="s">
        <v>1173</v>
      </c>
      <c r="B1201" s="2" t="str">
        <f>IFERROR(__xludf.DUMMYFUNCTION("GOOGLETRANSLATE(A1201, ""de"", ""uk"")"),"що сталося")</f>
        <v>що сталося</v>
      </c>
    </row>
    <row r="1202" ht="15.75" customHeight="1">
      <c r="A1202" s="1" t="s">
        <v>1174</v>
      </c>
      <c r="B1202" s="2" t="str">
        <f>IFERROR(__xludf.DUMMYFUNCTION("GOOGLETRANSLATE(A1202, ""de"", ""uk"")"),"Лікар оглядає пацієнта.")</f>
        <v>Лікар оглядає пацієнта.</v>
      </c>
    </row>
    <row r="1203" ht="15.75" customHeight="1">
      <c r="A1203" s="1" t="s">
        <v>1175</v>
      </c>
      <c r="B1203" s="2" t="str">
        <f>IFERROR(__xludf.DUMMYFUNCTION("GOOGLETRANSLATE(A1203, ""de"", ""uk"")"),"Лікар має це подивитися.")</f>
        <v>Лікар має це подивитися.</v>
      </c>
    </row>
    <row r="1204" ht="15.75" customHeight="1">
      <c r="A1204" s="1" t="s">
        <v>1176</v>
      </c>
      <c r="B1204" s="2" t="str">
        <f>IFERROR(__xludf.DUMMYFUNCTION("GOOGLETRANSLATE(A1204, ""de"", ""uk"")"),"Будь ласка, візьміть із собою картку страхування.")</f>
        <v>Будь ласка, візьміть із собою картку страхування.</v>
      </c>
    </row>
    <row r="1205" ht="15.75" customHeight="1">
      <c r="A1205" s="1" t="s">
        <v>1177</v>
      </c>
      <c r="B1205" s="2" t="str">
        <f>IFERROR(__xludf.DUMMYFUNCTION("GOOGLETRANSLATE(A1205, ""de"", ""uk"")"),"Треба більше пити.")</f>
        <v>Треба більше пити.</v>
      </c>
    </row>
    <row r="1206" ht="15.75" customHeight="1">
      <c r="A1206" s="1" t="s">
        <v>1178</v>
      </c>
      <c r="B1206" s="2" t="str">
        <f>IFERROR(__xludf.DUMMYFUNCTION("GOOGLETRANSLATE(A1206, ""de"", ""uk"")"),"Не можна палити так багато.")</f>
        <v>Не можна палити так багато.</v>
      </c>
    </row>
    <row r="1207" ht="15.75" customHeight="1">
      <c r="A1207" s="1" t="s">
        <v>1179</v>
      </c>
      <c r="B1207" s="2" t="str">
        <f>IFERROR(__xludf.DUMMYFUNCTION("GOOGLETRANSLATE(A1207, ""de"", ""uk"")"),"Будь ласка, зверніться до екстреної служби.")</f>
        <v>Будь ласка, зверніться до екстреної служби.</v>
      </c>
    </row>
    <row r="1208" ht="15.75" customHeight="1">
      <c r="A1208" s="1" t="s">
        <v>1180</v>
      </c>
      <c r="B1208" s="2" t="str">
        <f>IFERROR(__xludf.DUMMYFUNCTION("GOOGLETRANSLATE(A1208, ""de"", ""uk"")"),"Не робіть цього.")</f>
        <v>Не робіть цього.</v>
      </c>
    </row>
    <row r="1209" ht="15.75" customHeight="1">
      <c r="A1209" s="1" t="s">
        <v>1181</v>
      </c>
      <c r="B1209" s="2" t="str">
        <f>IFERROR(__xludf.DUMMYFUNCTION("GOOGLETRANSLATE(A1209, ""de"", ""uk"")"),"Будь ласка, уникайте алкоголю.")</f>
        <v>Будь ласка, уникайте алкоголю.</v>
      </c>
    </row>
    <row r="1210" ht="15.75" customHeight="1">
      <c r="A1210" s="1" t="s">
        <v>1182</v>
      </c>
      <c r="B1210" s="2" t="str">
        <f>IFERROR(__xludf.DUMMYFUNCTION("GOOGLETRANSLATE(A1210, ""de"", ""uk"")"),"Ліки не діють.")</f>
        <v>Ліки не діють.</v>
      </c>
    </row>
    <row r="1211" ht="15.75" customHeight="1">
      <c r="A1211" s="1" t="s">
        <v>1183</v>
      </c>
      <c r="B1211" s="2" t="str">
        <f>IFERROR(__xludf.DUMMYFUNCTION("GOOGLETRANSLATE(A1211, ""de"", ""uk"")"),"Вона чекає допомоги.")</f>
        <v>Вона чекає допомоги.</v>
      </c>
    </row>
    <row r="1212" ht="15.75" customHeight="1">
      <c r="A1212" s="1" t="s">
        <v>1184</v>
      </c>
      <c r="B1212" s="2" t="str">
        <f>IFERROR(__xludf.DUMMYFUNCTION("GOOGLETRANSLATE(A1212, ""de"", ""uk"")"),"За чоловіком доглядає медсестра.")</f>
        <v>За чоловіком доглядає медсестра.</v>
      </c>
    </row>
    <row r="1213" ht="15.75" customHeight="1">
      <c r="A1213" s="1" t="s">
        <v>1185</v>
      </c>
      <c r="B1213" s="2" t="str">
        <f>IFERROR(__xludf.DUMMYFUNCTION("GOOGLETRANSLATE(A1213, ""de"", ""uk"")"),"Треба негайно реагувати.")</f>
        <v>Треба негайно реагувати.</v>
      </c>
    </row>
    <row r="1214" ht="15.75" customHeight="1">
      <c r="A1214" s="1" t="s">
        <v>1186</v>
      </c>
      <c r="B1214" s="2" t="str">
        <f>IFERROR(__xludf.DUMMYFUNCTION("GOOGLETRANSLATE(A1214, ""de"", ""uk"")"),"Жінкам треба відпочити.")</f>
        <v>Жінкам треба відпочити.</v>
      </c>
    </row>
    <row r="1215" ht="15.75" customHeight="1">
      <c r="A1215" s="1" t="s">
        <v>1187</v>
      </c>
      <c r="B1215" s="2" t="str">
        <f>IFERROR(__xludf.DUMMYFUNCTION("GOOGLETRANSLATE(A1215, ""de"", ""uk"")"),"Дитина падає.")</f>
        <v>Дитина падає.</v>
      </c>
    </row>
    <row r="1216" ht="15.75" customHeight="1">
      <c r="A1216" s="1" t="s">
        <v>1188</v>
      </c>
      <c r="B1216" s="2" t="str">
        <f>IFERROR(__xludf.DUMMYFUNCTION("GOOGLETRANSLATE(A1216, ""de"", ""uk"")"),"Ви не можете більше набирати вагу.")</f>
        <v>Ви не можете більше набирати вагу.</v>
      </c>
    </row>
    <row r="1217" ht="15.75" customHeight="1">
      <c r="A1217" s="1" t="s">
        <v>1189</v>
      </c>
      <c r="B1217" s="2" t="str">
        <f>IFERROR(__xludf.DUMMYFUNCTION("GOOGLETRANSLATE(A1217, ""de"", ""uk"")"),"Чоловік в аптеці консультує хвору жінку.")</f>
        <v>Чоловік в аптеці консультує хвору жінку.</v>
      </c>
    </row>
    <row r="1218" ht="15.75" customHeight="1">
      <c r="A1218" s="1" t="s">
        <v>1190</v>
      </c>
      <c r="B1218" s="2" t="str">
        <f>IFERROR(__xludf.DUMMYFUNCTION("GOOGLETRANSLATE(A1218, ""de"", ""uk"")"),"Потрібно більше займатися фітнесом.")</f>
        <v>Потрібно більше займатися фітнесом.</v>
      </c>
    </row>
    <row r="1219" ht="15.75" customHeight="1">
      <c r="A1219" s="1" t="s">
        <v>1191</v>
      </c>
      <c r="B1219" s="2" t="str">
        <f>IFERROR(__xludf.DUMMYFUNCTION("GOOGLETRANSLATE(A1219, ""de"", ""uk"")"),"Як часто я повинен приймати ліки?")</f>
        <v>Як часто я повинен приймати ліки?</v>
      </c>
    </row>
    <row r="1220" ht="15.75" customHeight="1">
      <c r="A1220" s="1" t="s">
        <v>1192</v>
      </c>
      <c r="B1220" s="2" t="str">
        <f>IFERROR(__xludf.DUMMYFUNCTION("GOOGLETRANSLATE(A1220, ""de"", ""uk"")"),"Будь ласка, повідомте нам у приймальні.")</f>
        <v>Будь ласка, повідомте нам у приймальні.</v>
      </c>
    </row>
    <row r="1221" ht="15.75" customHeight="1">
      <c r="A1221" s="1" t="s">
        <v>1193</v>
      </c>
      <c r="B1221" s="2" t="str">
        <f>IFERROR(__xludf.DUMMYFUNCTION("GOOGLETRANSLATE(A1221, ""de"", ""uk"")"),"Мило коштує лише два євро.")</f>
        <v>Мило коштує лише два євро.</v>
      </c>
    </row>
    <row r="1222" ht="15.75" customHeight="1">
      <c r="A1222" s="1" t="s">
        <v>1194</v>
      </c>
      <c r="B1222" s="2" t="str">
        <f>IFERROR(__xludf.DUMMYFUNCTION("GOOGLETRANSLATE(A1222, ""de"", ""uk"")"),"Шампунь з супермаркету.")</f>
        <v>Шампунь з супермаркету.</v>
      </c>
    </row>
    <row r="1223" ht="15.75" customHeight="1">
      <c r="A1223" s="1" t="s">
        <v>1195</v>
      </c>
      <c r="B1223" s="2" t="str">
        <f>IFERROR(__xludf.DUMMYFUNCTION("GOOGLETRANSLATE(A1223, ""de"", ""uk"")"),"Мені не потрібен рушник.")</f>
        <v>Мені не потрібен рушник.</v>
      </c>
    </row>
    <row r="1224" ht="15.75" customHeight="1">
      <c r="A1224" s="1" t="s">
        <v>1196</v>
      </c>
      <c r="B1224" s="2" t="str">
        <f>IFERROR(__xludf.DUMMYFUNCTION("GOOGLETRANSLATE(A1224, ""de"", ""uk"")"),"У мене дві зубні щітки.")</f>
        <v>У мене дві зубні щітки.</v>
      </c>
    </row>
    <row r="1225" ht="15.75" customHeight="1">
      <c r="A1225" s="1" t="s">
        <v>1197</v>
      </c>
      <c r="B1225" s="2" t="str">
        <f>IFERROR(__xludf.DUMMYFUNCTION("GOOGLETRANSLATE(A1225, ""de"", ""uk"")"),"Дитина не приймає зубну пасту.")</f>
        <v>Дитина не приймає зубну пасту.</v>
      </c>
    </row>
    <row r="1226" ht="15.75" customHeight="1">
      <c r="A1226" s="1" t="s">
        <v>1198</v>
      </c>
      <c r="B1226" s="2" t="str">
        <f>IFERROR(__xludf.DUMMYFUNCTION("GOOGLETRANSLATE(A1226, ""de"", ""uk"")"),"Лікар рекомендує чоловікові крем.")</f>
        <v>Лікар рекомендує чоловікові крем.</v>
      </c>
    </row>
    <row r="1227" ht="15.75" customHeight="1">
      <c r="A1227" s="1" t="s">
        <v>1199</v>
      </c>
      <c r="B1227" s="2" t="str">
        <f>IFERROR(__xludf.DUMMYFUNCTION("GOOGLETRANSLATE(A1227, ""de"", ""uk"")"),"Гіпс не допомагає.")</f>
        <v>Гіпс не допомагає.</v>
      </c>
    </row>
    <row r="1228" ht="15.75" customHeight="1">
      <c r="A1228" s="1" t="s">
        <v>1200</v>
      </c>
      <c r="B1228" s="2" t="str">
        <f>IFERROR(__xludf.DUMMYFUNCTION("GOOGLETRANSLATE(A1228, ""de"", ""uk"")"),"Препарат діє добре.")</f>
        <v>Препарат діє добре.</v>
      </c>
    </row>
    <row r="1229" ht="15.75" customHeight="1">
      <c r="A1229" s="1" t="s">
        <v>1201</v>
      </c>
      <c r="B1229" s="2" t="str">
        <f>IFERROR(__xludf.DUMMYFUNCTION("GOOGLETRANSLATE(A1229, ""de"", ""uk"")"),"Приймаю таблетки вранці і ввечері.")</f>
        <v>Приймаю таблетки вранці і ввечері.</v>
      </c>
    </row>
    <row r="1230" ht="15.75" customHeight="1">
      <c r="A1230" s="1" t="s">
        <v>1202</v>
      </c>
      <c r="B1230" s="2" t="str">
        <f>IFERROR(__xludf.DUMMYFUNCTION("GOOGLETRANSLATE(A1230, ""de"", ""uk"")"),"Лікар каже, що ви здорові.")</f>
        <v>Лікар каже, що ви здорові.</v>
      </c>
    </row>
    <row r="1231" ht="15.75" customHeight="1">
      <c r="A1231" s="1" t="s">
        <v>1203</v>
      </c>
      <c r="B1231" s="2" t="str">
        <f>IFERROR(__xludf.DUMMYFUNCTION("GOOGLETRANSLATE(A1231, ""de"", ""uk"")"),"Медсестра дуже красива.")</f>
        <v>Медсестра дуже красива.</v>
      </c>
    </row>
    <row r="1232" ht="15.75" customHeight="1">
      <c r="A1232" s="1" t="s">
        <v>1204</v>
      </c>
      <c r="B1232" s="2" t="str">
        <f>IFERROR(__xludf.DUMMYFUNCTION("GOOGLETRANSLATE(A1232, ""de"", ""uk"")"),"Пацієнт повинен чекати лікаря.")</f>
        <v>Пацієнт повинен чекати лікаря.</v>
      </c>
    </row>
    <row r="1233" ht="15.75" customHeight="1">
      <c r="A1233" s="1" t="s">
        <v>1205</v>
      </c>
      <c r="B1233" s="2" t="str">
        <f>IFERROR(__xludf.DUMMYFUNCTION("GOOGLETRANSLATE(A1233, ""de"", ""uk"")"),"Ви повинні мати із собою картку страхування.")</f>
        <v>Ви повинні мати із собою картку страхування.</v>
      </c>
    </row>
    <row r="1234" ht="15.75" customHeight="1">
      <c r="A1234" s="1" t="s">
        <v>1206</v>
      </c>
      <c r="B1234" s="2" t="str">
        <f>IFERROR(__xludf.DUMMYFUNCTION("GOOGLETRANSLATE(A1234, ""de"", ""uk"")"),"Я в кабінеті лікаря.")</f>
        <v>Я в кабінеті лікаря.</v>
      </c>
    </row>
    <row r="1235" ht="15.75" customHeight="1">
      <c r="A1235" s="1" t="s">
        <v>1207</v>
      </c>
      <c r="B1235" s="2" t="str">
        <f>IFERROR(__xludf.DUMMYFUNCTION("GOOGLETRANSLATE(A1235, ""de"", ""uk"")"),"У лікарні нічого не робили.")</f>
        <v>У лікарні нічого не робили.</v>
      </c>
    </row>
    <row r="1236" ht="15.75" customHeight="1">
      <c r="A1236" s="1" t="s">
        <v>1208</v>
      </c>
      <c r="B1236" s="2" t="str">
        <f>IFERROR(__xludf.DUMMYFUNCTION("GOOGLETRANSLATE(A1236, ""de"", ""uk"")"),"До нас приїжджає швидка допомога.")</f>
        <v>До нас приїжджає швидка допомога.</v>
      </c>
    </row>
    <row r="1237" ht="15.75" customHeight="1">
      <c r="A1237" s="1" t="s">
        <v>1209</v>
      </c>
      <c r="B1237" s="2" t="str">
        <f>IFERROR(__xludf.DUMMYFUNCTION("GOOGLETRANSLATE(A1237, ""de"", ""uk"")"),"Вам потрібен бинт.")</f>
        <v>Вам потрібен бинт.</v>
      </c>
    </row>
    <row r="1238" ht="15.75" customHeight="1">
      <c r="A1238" s="1" t="s">
        <v>1210</v>
      </c>
      <c r="B1238" s="2" t="str">
        <f>IFERROR(__xludf.DUMMYFUNCTION("GOOGLETRANSLATE(A1238, ""de"", ""uk"")"),"У минулому моя дієта була дуже поганою.")</f>
        <v>У минулому моя дієта була дуже поганою.</v>
      </c>
    </row>
    <row r="1239" ht="15.75" customHeight="1">
      <c r="A1239" s="1" t="s">
        <v>1211</v>
      </c>
      <c r="B1239" s="2" t="str">
        <f>IFERROR(__xludf.DUMMYFUNCTION("GOOGLETRANSLATE(A1239, ""de"", ""uk"")"),"Потрібно більше займатися фітнесом.")</f>
        <v>Потрібно більше займатися фітнесом.</v>
      </c>
    </row>
    <row r="1240" ht="15.75" customHeight="1">
      <c r="A1240" s="1" t="s">
        <v>1212</v>
      </c>
      <c r="B1240" s="2" t="str">
        <f>IFERROR(__xludf.DUMMYFUNCTION("GOOGLETRANSLATE(A1240, ""de"", ""uk"")"),"У мене проблема з ліками.")</f>
        <v>У мене проблема з ліками.</v>
      </c>
    </row>
    <row r="1241" ht="15.75" customHeight="1">
      <c r="A1241" s="1" t="s">
        <v>1213</v>
      </c>
      <c r="B1241" s="2" t="str">
        <f>IFERROR(__xludf.DUMMYFUNCTION("GOOGLETRANSLATE(A1241, ""de"", ""uk"")"),"В залі очікування порядок.")</f>
        <v>В залі очікування порядок.</v>
      </c>
    </row>
    <row r="1242" ht="15.75" customHeight="1">
      <c r="A1242" s="1" t="s">
        <v>1214</v>
      </c>
      <c r="B1242" s="2" t="str">
        <f>IFERROR(__xludf.DUMMYFUNCTION("GOOGLETRANSLATE(A1242, ""de"", ""uk"")"),"За цей рік вона хворіла п’ять разів.")</f>
        <v>За цей рік вона хворіла п’ять разів.</v>
      </c>
    </row>
    <row r="1243" ht="15.75" customHeight="1">
      <c r="A1243" s="1" t="s">
        <v>1215</v>
      </c>
      <c r="B1243" s="2" t="str">
        <f>IFERROR(__xludf.DUMMYFUNCTION("GOOGLETRANSLATE(A1243, ""de"", ""uk"")"),"Я реєструюся.")</f>
        <v>Я реєструюся.</v>
      </c>
    </row>
    <row r="1244" ht="15.75" customHeight="1">
      <c r="A1244" s="1" t="s">
        <v>1216</v>
      </c>
      <c r="B1244" s="2" t="str">
        <f>IFERROR(__xludf.DUMMYFUNCTION("GOOGLETRANSLATE(A1244, ""de"", ""uk"")"),"В аптеці цей препарат не продається.")</f>
        <v>В аптеці цей препарат не продається.</v>
      </c>
    </row>
    <row r="1245" ht="15.75" customHeight="1">
      <c r="A1245" s="1" t="s">
        <v>1217</v>
      </c>
      <c r="B1245" s="2" t="str">
        <f>IFERROR(__xludf.DUMMYFUNCTION("GOOGLETRANSLATE(A1245, ""de"", ""uk"")"),"Будь ласка, зачекайте в кімнаті очікування.")</f>
        <v>Будь ласка, зачекайте в кімнаті очікування.</v>
      </c>
    </row>
    <row r="1246" ht="15.75" customHeight="1">
      <c r="A1246" s="1" t="s">
        <v>1218</v>
      </c>
      <c r="B1246" s="2" t="str">
        <f>IFERROR(__xludf.DUMMYFUNCTION("GOOGLETRANSLATE(A1246, ""de"", ""uk"")"),"Я не знаю, в чому проблема.")</f>
        <v>Я не знаю, в чому проблема.</v>
      </c>
    </row>
    <row r="1247" ht="15.75" customHeight="1">
      <c r="A1247" s="1" t="s">
        <v>1219</v>
      </c>
      <c r="B1247" s="2" t="str">
        <f>IFERROR(__xludf.DUMMYFUNCTION("GOOGLETRANSLATE(A1247, ""de"", ""uk"")"),"Вам потрібна моя допомога?")</f>
        <v>Вам потрібна моя допомога?</v>
      </c>
    </row>
    <row r="1248" ht="15.75" customHeight="1">
      <c r="A1248" s="1" t="s">
        <v>1220</v>
      </c>
      <c r="B1248" s="2" t="str">
        <f>IFERROR(__xludf.DUMMYFUNCTION("GOOGLETRANSLATE(A1248, ""de"", ""uk"")"),"У вас є страхова картка?")</f>
        <v>У вас є страхова картка?</v>
      </c>
    </row>
    <row r="1249" ht="15.75" customHeight="1">
      <c r="A1249" s="1" t="s">
        <v>1221</v>
      </c>
      <c r="B1249" s="2" t="str">
        <f>IFERROR(__xludf.DUMMYFUNCTION("GOOGLETRANSLATE(A1249, ""de"", ""uk"")"),"Будьте обережні з алкоголем.")</f>
        <v>Будьте обережні з алкоголем.</v>
      </c>
    </row>
    <row r="1250" ht="15.75" customHeight="1">
      <c r="A1250" s="1" t="s">
        <v>1222</v>
      </c>
      <c r="B1250" s="2" t="str">
        <f>IFERROR(__xludf.DUMMYFUNCTION("GOOGLETRANSLATE(A1250, ""de"", ""uk"")"),"Надмірна кількість алкоголю шкідлива для здоров’я.")</f>
        <v>Надмірна кількість алкоголю шкідлива для здоров’я.</v>
      </c>
    </row>
    <row r="1251" ht="15.75" customHeight="1">
      <c r="A1251" s="1" t="s">
        <v>1223</v>
      </c>
      <c r="B1251" s="2" t="str">
        <f>IFERROR(__xludf.DUMMYFUNCTION("GOOGLETRANSLATE(A1251, ""de"", ""uk"")"),"Я просто застудився.")</f>
        <v>Я просто застудився.</v>
      </c>
    </row>
    <row r="1252" ht="15.75" customHeight="1">
      <c r="A1252" s="1" t="s">
        <v>1224</v>
      </c>
      <c r="B1252" s="2" t="str">
        <f>IFERROR(__xludf.DUMMYFUNCTION("GOOGLETRANSLATE(A1252, ""de"", ""uk"")"),"Одужуй швидше.")</f>
        <v>Одужуй швидше.</v>
      </c>
    </row>
    <row r="1253" ht="15.75" customHeight="1">
      <c r="A1253" s="1" t="s">
        <v>1225</v>
      </c>
      <c r="B1253" s="2" t="str">
        <f>IFERROR(__xludf.DUMMYFUNCTION("GOOGLETRANSLATE(A1253, ""de"", ""uk"")"),"Допомагає мазь.")</f>
        <v>Допомагає мазь.</v>
      </c>
    </row>
    <row r="1254" ht="15.75" customHeight="1">
      <c r="A1254" s="1" t="s">
        <v>1226</v>
      </c>
      <c r="B1254" s="2" t="str">
        <f>IFERROR(__xludf.DUMMYFUNCTION("GOOGLETRANSLATE(A1254, ""de"", ""uk"")"),"Кожен день гуляйте.")</f>
        <v>Кожен день гуляйте.</v>
      </c>
    </row>
    <row r="1255" ht="15.75" customHeight="1">
      <c r="A1255" s="1" t="s">
        <v>1227</v>
      </c>
      <c r="B1255" s="2" t="str">
        <f>IFERROR(__xludf.DUMMYFUNCTION("GOOGLETRANSLATE(A1255, ""de"", ""uk"")"),"Лікар дав мені слушну пораду.")</f>
        <v>Лікар дав мені слушну пораду.</v>
      </c>
    </row>
    <row r="1256" ht="15.75" customHeight="1">
      <c r="A1256" s="1" t="s">
        <v>1228</v>
      </c>
      <c r="B1256" s="2" t="str">
        <f>IFERROR(__xludf.DUMMYFUNCTION("GOOGLETRANSLATE(A1256, ""de"", ""uk"")"),"У їхній ситуації їм заборонено вживати алкоголь.")</f>
        <v>У їхній ситуації їм заборонено вживати алкоголь.</v>
      </c>
    </row>
    <row r="1257" ht="15.75" customHeight="1">
      <c r="A1257" s="1" t="s">
        <v>1229</v>
      </c>
      <c r="B1257" s="2" t="str">
        <f>IFERROR(__xludf.DUMMYFUNCTION("GOOGLETRANSLATE(A1257, ""de"", ""uk"")"),"Я викличу службу порятунку.")</f>
        <v>Я викличу службу порятунку.</v>
      </c>
    </row>
    <row r="1258" ht="15.75" customHeight="1">
      <c r="A1258" s="1" t="s">
        <v>1230</v>
      </c>
      <c r="B1258" s="2" t="str">
        <f>IFERROR(__xludf.DUMMYFUNCTION("GOOGLETRANSLATE(A1258, ""de"", ""uk"")"),"Будь ласка, наберіть екстрений номер.")</f>
        <v>Будь ласка, наберіть екстрений номер.</v>
      </c>
    </row>
    <row r="1259" ht="15.75" customHeight="1">
      <c r="A1259" s="1" t="s">
        <v>1231</v>
      </c>
      <c r="B1259" s="2" t="str">
        <f>IFERROR(__xludf.DUMMYFUNCTION("GOOGLETRANSLATE(A1259, ""de"", ""uk"")"),"Ви не курите?")</f>
        <v>Ви не курите?</v>
      </c>
    </row>
    <row r="1260" ht="15.75" customHeight="1">
      <c r="A1260" s="1" t="s">
        <v>1232</v>
      </c>
      <c r="B1260" s="2" t="str">
        <f>IFERROR(__xludf.DUMMYFUNCTION("GOOGLETRANSLATE(A1260, ""de"", ""uk"")"),"Мій організм здоровий.")</f>
        <v>Мій організм здоровий.</v>
      </c>
    </row>
    <row r="1261" ht="15.75" customHeight="1">
      <c r="A1261" s="1" t="s">
        <v>1233</v>
      </c>
      <c r="B1261" s="2" t="str">
        <f>IFERROR(__xludf.DUMMYFUNCTION("GOOGLETRANSLATE(A1261, ""de"", ""uk"")"),"Голова болить.")</f>
        <v>Голова болить.</v>
      </c>
    </row>
    <row r="1262" ht="15.75" customHeight="1">
      <c r="A1262" s="1" t="s">
        <v>1234</v>
      </c>
      <c r="B1262" s="2" t="str">
        <f>IFERROR(__xludf.DUMMYFUNCTION("GOOGLETRANSLATE(A1262, ""de"", ""uk"")"),"У вас болить груди.")</f>
        <v>У вас болить груди.</v>
      </c>
    </row>
    <row r="1263" ht="15.75" customHeight="1">
      <c r="A1263" s="1" t="s">
        <v>1235</v>
      </c>
      <c r="B1263" s="2" t="str">
        <f>IFERROR(__xludf.DUMMYFUNCTION("GOOGLETRANSLATE(A1263, ""de"", ""uk"")"),"Нога у нього товста.")</f>
        <v>Нога у нього товста.</v>
      </c>
    </row>
    <row r="1264" ht="15.75" customHeight="1">
      <c r="A1264" s="1" t="s">
        <v>1236</v>
      </c>
      <c r="B1264" s="2" t="str">
        <f>IFERROR(__xludf.DUMMYFUNCTION("GOOGLETRANSLATE(A1264, ""de"", ""uk"")"),"Що сталося з твоєю ногою?")</f>
        <v>Що сталося з твоєю ногою?</v>
      </c>
    </row>
    <row r="1265" ht="15.75" customHeight="1">
      <c r="A1265" s="1" t="s">
        <v>1237</v>
      </c>
      <c r="B1265" s="2" t="str">
        <f>IFERROR(__xludf.DUMMYFUNCTION("GOOGLETRANSLATE(A1265, ""de"", ""uk"")"),"Горло болить.")</f>
        <v>Горло болить.</v>
      </c>
    </row>
    <row r="1266" ht="15.75" customHeight="1">
      <c r="A1266" s="1" t="s">
        <v>1238</v>
      </c>
      <c r="B1266" s="2" t="str">
        <f>IFERROR(__xludf.DUMMYFUNCTION("GOOGLETRANSLATE(A1266, ""de"", ""uk"")"),"у мене болить живіт.")</f>
        <v>у мене болить живіт.</v>
      </c>
    </row>
    <row r="1267" ht="15.75" customHeight="1">
      <c r="A1267" s="1" t="s">
        <v>1239</v>
      </c>
      <c r="B1267" s="2" t="str">
        <f>IFERROR(__xludf.DUMMYFUNCTION("GOOGLETRANSLATE(A1267, ""de"", ""uk"")"),"Мені потрібно відпочити коліну.")</f>
        <v>Мені потрібно відпочити коліну.</v>
      </c>
    </row>
    <row r="1268" ht="15.75" customHeight="1">
      <c r="A1268" s="1" t="s">
        <v>1240</v>
      </c>
      <c r="B1268" s="2" t="str">
        <f>IFERROR(__xludf.DUMMYFUNCTION("GOOGLETRANSLATE(A1268, ""de"", ""uk"")"),"Ваш палець на нозі дуже великий.")</f>
        <v>Ваш палець на нозі дуже великий.</v>
      </c>
    </row>
    <row r="1269" ht="15.75" customHeight="1">
      <c r="A1269" s="1" t="s">
        <v>1241</v>
      </c>
      <c r="B1269" s="2" t="str">
        <f>IFERROR(__xludf.DUMMYFUNCTION("GOOGLETRANSLATE(A1269, ""de"", ""uk"")"),"На твоїй спині кров.")</f>
        <v>На твоїй спині кров.</v>
      </c>
    </row>
    <row r="1270" ht="15.75" customHeight="1">
      <c r="A1270" s="1" t="s">
        <v>1242</v>
      </c>
      <c r="B1270" s="2" t="str">
        <f>IFERROR(__xludf.DUMMYFUNCTION("GOOGLETRANSLATE(A1270, ""de"", ""uk"")"),"Наші плечі гарні.")</f>
        <v>Наші плечі гарні.</v>
      </c>
    </row>
    <row r="1271" ht="15.75" customHeight="1">
      <c r="A1271" s="1" t="s">
        <v>1243</v>
      </c>
      <c r="B1271" s="2" t="str">
        <f>IFERROR(__xludf.DUMMYFUNCTION("GOOGLETRANSLATE(A1271, ""de"", ""uk"")"),"Нехай лікар огляне вашу руку.")</f>
        <v>Нехай лікар огляне вашу руку.</v>
      </c>
    </row>
    <row r="1272" ht="15.75" customHeight="1">
      <c r="A1272" s="1" t="s">
        <v>1244</v>
      </c>
      <c r="B1272" s="2" t="str">
        <f>IFERROR(__xludf.DUMMYFUNCTION("GOOGLETRANSLATE(A1272, ""de"", ""uk"")"),"Відколи болить лікоть?")</f>
        <v>Відколи болить лікоть?</v>
      </c>
    </row>
    <row r="1273" ht="15.75" customHeight="1">
      <c r="A1273" s="4" t="s">
        <v>1245</v>
      </c>
      <c r="B1273" s="2" t="str">
        <f>IFERROR(__xludf.DUMMYFUNCTION("GOOGLETRANSLATE(A1273, ""de"", ""uk"")"),"Мені потрібна каблучка на палець.")</f>
        <v>Мені потрібна каблучка на палець.</v>
      </c>
    </row>
    <row r="1274" ht="15.75" customHeight="1">
      <c r="A1274" s="1" t="s">
        <v>1246</v>
      </c>
      <c r="B1274" s="2" t="str">
        <f>IFERROR(__xludf.DUMMYFUNCTION("GOOGLETRANSLATE(A1274, ""de"", ""uk"")"),"Рука дитини маленька.")</f>
        <v>Рука дитини маленька.</v>
      </c>
    </row>
    <row r="1275" ht="15.75" customHeight="1">
      <c r="A1275" s="1" t="s">
        <v>1247</v>
      </c>
      <c r="B1275" s="2" t="str">
        <f>IFERROR(__xludf.DUMMYFUNCTION("GOOGLETRANSLATE(A1275, ""de"", ""uk"")"),"Її низ дуже великий.")</f>
        <v>Її низ дуже великий.</v>
      </c>
    </row>
    <row r="1276" ht="15.75" customHeight="1">
      <c r="A1276" s="1" t="s">
        <v>1248</v>
      </c>
      <c r="B1276" s="2" t="str">
        <f>IFERROR(__xludf.DUMMYFUNCTION("GOOGLETRANSLATE(A1276, ""de"", ""uk"")"),"У нього гарне обличчя.")</f>
        <v>У нього гарне обличчя.</v>
      </c>
    </row>
    <row r="1277" ht="15.75" customHeight="1">
      <c r="A1277" s="1" t="s">
        <v>1249</v>
      </c>
      <c r="B1277" s="2" t="str">
        <f>IFERROR(__xludf.DUMMYFUNCTION("GOOGLETRANSLATE(A1277, ""de"", ""uk"")"),"Вона розчісує волосся.")</f>
        <v>Вона розчісує волосся.</v>
      </c>
    </row>
    <row r="1278" ht="15.75" customHeight="1">
      <c r="A1278" s="1" t="s">
        <v>1250</v>
      </c>
      <c r="B1278" s="2" t="str">
        <f>IFERROR(__xludf.DUMMYFUNCTION("GOOGLETRANSLATE(A1278, ""de"", ""uk"")"),"З носом до лікаря треба.")</f>
        <v>З носом до лікаря треба.</v>
      </c>
    </row>
    <row r="1279" ht="15.75" customHeight="1">
      <c r="A1279" s="1" t="s">
        <v>1251</v>
      </c>
      <c r="B1279" s="2" t="str">
        <f>IFERROR(__xludf.DUMMYFUNCTION("GOOGLETRANSLATE(A1279, ""de"", ""uk"")"),"У неї маленький рот.")</f>
        <v>У неї маленький рот.</v>
      </c>
    </row>
    <row r="1280" ht="15.75" customHeight="1">
      <c r="A1280" s="1" t="s">
        <v>1252</v>
      </c>
      <c r="B1280" s="2" t="str">
        <f>IFERROR(__xludf.DUMMYFUNCTION("GOOGLETRANSLATE(A1280, ""de"", ""uk"")"),"Мої губи погано реагують на мазь.")</f>
        <v>Мої губи погано реагують на мазь.</v>
      </c>
    </row>
    <row r="1281" ht="15.75" customHeight="1">
      <c r="A1281" s="1" t="s">
        <v>1253</v>
      </c>
      <c r="B1281" s="2" t="str">
        <f>IFERROR(__xludf.DUMMYFUNCTION("GOOGLETRANSLATE(A1281, ""de"", ""uk"")"),"Дуже болить зуб.")</f>
        <v>Дуже болить зуб.</v>
      </c>
    </row>
    <row r="1282" ht="15.75" customHeight="1">
      <c r="A1282" s="1" t="s">
        <v>1254</v>
      </c>
      <c r="B1282" s="2" t="str">
        <f>IFERROR(__xludf.DUMMYFUNCTION("GOOGLETRANSLATE(A1282, ""de"", ""uk"")"),"У чоловіка немає язика.")</f>
        <v>У чоловіка немає язика.</v>
      </c>
    </row>
    <row r="1283" ht="15.75" customHeight="1">
      <c r="A1283" s="1" t="s">
        <v>1255</v>
      </c>
      <c r="B1283" s="2" t="str">
        <f>IFERROR(__xludf.DUMMYFUNCTION("GOOGLETRANSLATE(A1283, ""de"", ""uk"")"),"У мене болить вухо.")</f>
        <v>У мене болить вухо.</v>
      </c>
    </row>
    <row r="1284" ht="15.75" customHeight="1">
      <c r="A1284" s="1" t="s">
        <v>1256</v>
      </c>
      <c r="B1284" s="2" t="str">
        <f>IFERROR(__xludf.DUMMYFUNCTION("GOOGLETRANSLATE(A1284, ""de"", ""uk"")"),"Твої очі хороші.")</f>
        <v>Твої очі хороші.</v>
      </c>
    </row>
    <row r="1285" ht="15.75" customHeight="1">
      <c r="A1285" s="1" t="s">
        <v>1257</v>
      </c>
      <c r="B1285" s="2" t="str">
        <f>IFERROR(__xludf.DUMMYFUNCTION("GOOGLETRANSLATE(A1285, ""de"", ""uk"")"),"Ваша шкіра нездорова.")</f>
        <v>Ваша шкіра нездорова.</v>
      </c>
    </row>
    <row r="1286" ht="15.75" customHeight="1">
      <c r="A1286" s="1" t="s">
        <v>1258</v>
      </c>
      <c r="B1286" s="2" t="str">
        <f>IFERROR(__xludf.DUMMYFUNCTION("GOOGLETRANSLATE(A1286, ""de"", ""uk"")"),"Людині потрібне нове серце.")</f>
        <v>Людині потрібне нове серце.</v>
      </c>
    </row>
    <row r="1287" ht="15.75" customHeight="1">
      <c r="A1287" s="1" t="s">
        <v>1259</v>
      </c>
      <c r="B1287" s="2" t="str">
        <f>IFERROR(__xludf.DUMMYFUNCTION("GOOGLETRANSLATE(A1287, ""de"", ""uk"")"),"Мені дуже боляче.")</f>
        <v>Мені дуже боляче.</v>
      </c>
    </row>
    <row r="1288" ht="15.75" customHeight="1">
      <c r="A1288" s="1" t="s">
        <v>1260</v>
      </c>
      <c r="B1288" s="2" t="str">
        <f>IFERROR(__xludf.DUMMYFUNCTION("GOOGLETRANSLATE(A1288, ""de"", ""uk"")"),"У вас гарячка.")</f>
        <v>У вас гарячка.</v>
      </c>
    </row>
    <row r="1289" ht="15.75" customHeight="1">
      <c r="A1289" s="1" t="s">
        <v>1261</v>
      </c>
      <c r="B1289" s="2" t="str">
        <f>IFERROR(__xludf.DUMMYFUNCTION("GOOGLETRANSLATE(A1289, ""de"", ""uk"")"),"У тебе кров на сорочці.")</f>
        <v>У тебе кров на сорочці.</v>
      </c>
    </row>
    <row r="1290" ht="15.75" customHeight="1">
      <c r="A1290" s="1" t="s">
        <v>1262</v>
      </c>
      <c r="B1290" s="2" t="str">
        <f>IFERROR(__xludf.DUMMYFUNCTION("GOOGLETRANSLATE(A1290, ""de"", ""uk"")"),"У дитини важка хвороба.")</f>
        <v>У дитини важка хвороба.</v>
      </c>
    </row>
    <row r="1291" ht="15.75" customHeight="1">
      <c r="A1291" s="1" t="s">
        <v>1263</v>
      </c>
      <c r="B1291" s="2" t="str">
        <f>IFERROR(__xludf.DUMMYFUNCTION("GOOGLETRANSLATE(A1291, ""de"", ""uk"")"),"Здоров'я - це дуже важливо.")</f>
        <v>Здоров'я - це дуже важливо.</v>
      </c>
    </row>
    <row r="1292" ht="15.75" customHeight="1">
      <c r="A1292" s="1" t="s">
        <v>1264</v>
      </c>
      <c r="B1292" s="2" t="str">
        <f>IFERROR(__xludf.DUMMYFUNCTION("GOOGLETRANSLATE(A1292, ""de"", ""uk"")"),"Як довго у вас був кашель?")</f>
        <v>Як довго у вас був кашель?</v>
      </c>
    </row>
    <row r="1293" ht="15.75" customHeight="1">
      <c r="A1293" s="1" t="s">
        <v>1265</v>
      </c>
      <c r="B1293" s="2" t="str">
        <f>IFERROR(__xludf.DUMMYFUNCTION("GOOGLETRANSLATE(A1293, ""de"", ""uk"")"),"Треба сісти на дієту.")</f>
        <v>Треба сісти на дієту.</v>
      </c>
    </row>
    <row r="1294" ht="15.75" customHeight="1">
      <c r="A1294" s="1" t="s">
        <v>1266</v>
      </c>
      <c r="B1294" s="2" t="str">
        <f>IFERROR(__xludf.DUMMYFUNCTION("GOOGLETRANSLATE(A1294, ""de"", ""uk"")"),"Я просто застудився.")</f>
        <v>Я просто застудився.</v>
      </c>
    </row>
    <row r="1295" ht="15.75" customHeight="1">
      <c r="A1295" s="1" t="s">
        <v>1267</v>
      </c>
      <c r="B1295" s="2" t="str">
        <f>IFERROR(__xludf.DUMMYFUNCTION("GOOGLETRANSLATE(A1295, ""de"", ""uk"")"),"Дитині потрібно багато рухатися.")</f>
        <v>Дитині потрібно багато рухатися.</v>
      </c>
    </row>
    <row r="1296" ht="15.75" customHeight="1">
      <c r="A1296" s="1" t="s">
        <v>1268</v>
      </c>
      <c r="B1296" s="2" t="str">
        <f>IFERROR(__xludf.DUMMYFUNCTION("GOOGLETRANSLATE(A1296, ""de"", ""uk"")"),"Чоловік у лікаря.")</f>
        <v>Чоловік у лікаря.</v>
      </c>
    </row>
    <row r="1297" ht="15.75" customHeight="1">
      <c r="A1297" s="1" t="s">
        <v>1269</v>
      </c>
      <c r="B1297" s="2" t="str">
        <f>IFERROR(__xludf.DUMMYFUNCTION("GOOGLETRANSLATE(A1297, ""de"", ""uk"")"),"Вам потрібен конкретний препарат?")</f>
        <v>Вам потрібен конкретний препарат?</v>
      </c>
    </row>
    <row r="1298" ht="15.75" customHeight="1">
      <c r="A1298" s="1" t="s">
        <v>1270</v>
      </c>
      <c r="B1298" s="2" t="str">
        <f>IFERROR(__xludf.DUMMYFUNCTION("GOOGLETRANSLATE(A1298, ""de"", ""uk"")"),"Найкращі ліки також дуже дорогі.")</f>
        <v>Найкращі ліки також дуже дорогі.</v>
      </c>
    </row>
    <row r="1299" ht="15.75" customHeight="1">
      <c r="A1299" s="1" t="s">
        <v>1271</v>
      </c>
      <c r="B1299" s="2" t="str">
        <f>IFERROR(__xludf.DUMMYFUNCTION("GOOGLETRANSLATE(A1299, ""de"", ""uk"")"),"Іноді я занадто багато курю.")</f>
        <v>Іноді я занадто багато курю.</v>
      </c>
    </row>
    <row r="1300" ht="15.75" customHeight="1">
      <c r="A1300" s="1" t="s">
        <v>1272</v>
      </c>
      <c r="B1300" s="2" t="str">
        <f>IFERROR(__xludf.DUMMYFUNCTION("GOOGLETRANSLATE(A1300, ""de"", ""uk"")"),"Зазвичай до лікаря доводиться чекати.")</f>
        <v>Зазвичай до лікаря доводиться чекати.</v>
      </c>
    </row>
    <row r="1301" ht="15.75" customHeight="1">
      <c r="A1301" s="1" t="s">
        <v>1273</v>
      </c>
      <c r="B1301" s="2" t="str">
        <f>IFERROR(__xludf.DUMMYFUNCTION("GOOGLETRANSLATE(A1301, ""de"", ""uk"")"),"Будь ласка, приймайте ліки тричі на день.")</f>
        <v>Будь ласка, приймайте ліки тричі на день.</v>
      </c>
    </row>
    <row r="1302" ht="15.75" customHeight="1">
      <c r="A1302" s="1" t="s">
        <v>1274</v>
      </c>
      <c r="B1302" s="2" t="str">
        <f>IFERROR(__xludf.DUMMYFUNCTION("GOOGLETRANSLATE(A1302, ""de"", ""uk"")"),"Ця нога не болить.")</f>
        <v>Ця нога не болить.</v>
      </c>
    </row>
    <row r="1303" ht="15.75" customHeight="1">
      <c r="A1303" s="1" t="s">
        <v>1275</v>
      </c>
      <c r="B1303" s="2" t="str">
        <f>IFERROR(__xludf.DUMMYFUNCTION("GOOGLETRANSLATE(A1303, ""de"", ""uk"")"),"Нарешті ми в лікарні.")</f>
        <v>Нарешті ми в лікарні.</v>
      </c>
    </row>
    <row r="1304" ht="15.75" customHeight="1">
      <c r="A1304" s="1" t="s">
        <v>1276</v>
      </c>
      <c r="B1304" s="2" t="str">
        <f>IFERROR(__xludf.DUMMYFUNCTION("GOOGLETRANSLATE(A1304, ""de"", ""uk"")"),"Адже вони не здорові.")</f>
        <v>Адже вони не здорові.</v>
      </c>
    </row>
    <row r="1305" ht="15.75" customHeight="1">
      <c r="A1305" s="1" t="s">
        <v>1277</v>
      </c>
      <c r="B1305" s="2" t="str">
        <f>IFERROR(__xludf.DUMMYFUNCTION("GOOGLETRANSLATE(A1305, ""de"", ""uk"")"),"Не можна давати дитині алкоголь, інакше вона захворіє.")</f>
        <v>Не можна давати дитині алкоголь, інакше вона захворіє.</v>
      </c>
    </row>
    <row r="1306" ht="15.75" customHeight="1">
      <c r="A1306" s="1" t="s">
        <v>1278</v>
      </c>
      <c r="B1306" s="2" t="str">
        <f>IFERROR(__xludf.DUMMYFUNCTION("GOOGLETRANSLATE(A1306, ""de"", ""uk"")"),"Сьогодні я вже прийняв таблетки.")</f>
        <v>Сьогодні я вже прийняв таблетки.</v>
      </c>
    </row>
    <row r="1307" ht="15.75" customHeight="1">
      <c r="A1307" s="1" t="s">
        <v>1279</v>
      </c>
      <c r="B1307" s="2" t="str">
        <f>IFERROR(__xludf.DUMMYFUNCTION("GOOGLETRANSLATE(A1307, ""de"", ""uk"")"),"Вони хворі, тому повинні приймати ліки.")</f>
        <v>Вони хворі, тому повинні приймати ліки.</v>
      </c>
    </row>
    <row r="1308" ht="15.75" customHeight="1">
      <c r="A1308" s="1" t="s">
        <v>1280</v>
      </c>
      <c r="B1308" s="2" t="str">
        <f>IFERROR(__xludf.DUMMYFUNCTION("GOOGLETRANSLATE(A1308, ""de"", ""uk"")"),"Сподіваюся, моя дитина одужає.")</f>
        <v>Сподіваюся, моя дитина одужає.</v>
      </c>
    </row>
    <row r="1309" ht="15.75" customHeight="1">
      <c r="A1309" s="1" t="s">
        <v>1281</v>
      </c>
      <c r="B1309" s="2" t="str">
        <f>IFERROR(__xludf.DUMMYFUNCTION("GOOGLETRANSLATE(A1309, ""de"", ""uk"")"),"Я ніколи не вживаю алкоголю.")</f>
        <v>Я ніколи не вживаю алкоголю.</v>
      </c>
    </row>
    <row r="1310" ht="15.75" customHeight="1">
      <c r="A1310" s="1" t="s">
        <v>1282</v>
      </c>
      <c r="B1310" s="2" t="str">
        <f>IFERROR(__xludf.DUMMYFUNCTION("GOOGLETRANSLATE(A1310, ""de"", ""uk"")"),"П'ю таблетки, щоб поправитися.")</f>
        <v>П'ю таблетки, щоб поправитися.</v>
      </c>
    </row>
    <row r="1311" ht="15.75" customHeight="1">
      <c r="A1311" s="1" t="s">
        <v>1283</v>
      </c>
      <c r="B1311" s="2" t="str">
        <f>IFERROR(__xludf.DUMMYFUNCTION("GOOGLETRANSLATE(A1311, ""de"", ""uk"")"),"Жінка здорова.")</f>
        <v>Жінка здорова.</v>
      </c>
    </row>
    <row r="1312" ht="15.75" customHeight="1">
      <c r="A1312" s="1" t="s">
        <v>1284</v>
      </c>
      <c r="B1312" s="2" t="str">
        <f>IFERROR(__xludf.DUMMYFUNCTION("GOOGLETRANSLATE(A1312, ""de"", ""uk"")"),"Чоловік хворий.")</f>
        <v>Чоловік хворий.</v>
      </c>
    </row>
    <row r="1313" ht="15.75" customHeight="1">
      <c r="A1313" s="1" t="s">
        <v>1285</v>
      </c>
      <c r="B1313" s="2" t="str">
        <f>IFERROR(__xludf.DUMMYFUNCTION("GOOGLETRANSLATE(A1313, ""de"", ""uk"")"),"Хворий мертвий.")</f>
        <v>Хворий мертвий.</v>
      </c>
    </row>
    <row r="1314" ht="15.75" customHeight="1">
      <c r="A1314" s="1" t="s">
        <v>1286</v>
      </c>
      <c r="B1314" s="2" t="str">
        <f>IFERROR(__xludf.DUMMYFUNCTION("GOOGLETRANSLATE(A1314, ""de"", ""uk"")"),"Дитина занадто товста.")</f>
        <v>Дитина занадто товста.</v>
      </c>
    </row>
    <row r="1315" ht="15.75" customHeight="1">
      <c r="A1315" s="1" t="s">
        <v>1287</v>
      </c>
      <c r="B1315" s="2" t="str">
        <f>IFERROR(__xludf.DUMMYFUNCTION("GOOGLETRANSLATE(A1315, ""de"", ""uk"")"),"Нам потрібно менше їсти, щоб худнути.")</f>
        <v>Нам потрібно менше їсти, щоб худнути.</v>
      </c>
    </row>
    <row r="1316" ht="15.75" customHeight="1">
      <c r="A1316" s="1" t="s">
        <v>1288</v>
      </c>
      <c r="B1316" s="2" t="str">
        <f>IFERROR(__xludf.DUMMYFUNCTION("GOOGLETRANSLATE(A1316, ""de"", ""uk"")"),"У тебе великий ніс.")</f>
        <v>У тебе великий ніс.</v>
      </c>
    </row>
    <row r="1317" ht="15.75" customHeight="1">
      <c r="A1317" s="1" t="s">
        <v>1289</v>
      </c>
      <c r="B1317" s="2" t="str">
        <f>IFERROR(__xludf.DUMMYFUNCTION("GOOGLETRANSLATE(A1317, ""de"", ""uk"")"),"Я просто хочу маленьке яблучко.")</f>
        <v>Я просто хочу маленьке яблучко.</v>
      </c>
    </row>
    <row r="1318" ht="15.75" customHeight="1">
      <c r="A1318" s="1" t="s">
        <v>1290</v>
      </c>
      <c r="B1318" s="2" t="str">
        <f>IFERROR(__xludf.DUMMYFUNCTION("GOOGLETRANSLATE(A1318, ""de"", ""uk"")"),"Як часто ви ходите до лікаря?")</f>
        <v>Як часто ви ходите до лікаря?</v>
      </c>
    </row>
    <row r="1319" ht="15.75" customHeight="1">
      <c r="A1319" s="1" t="s">
        <v>1291</v>
      </c>
      <c r="B1319" s="2" t="str">
        <f>IFERROR(__xludf.DUMMYFUNCTION("GOOGLETRANSLATE(A1319, ""de"", ""uk"")"),"Алкоголь дуже шкідливий для здоров'я.")</f>
        <v>Алкоголь дуже шкідливий для здоров'я.</v>
      </c>
    </row>
    <row r="1320" ht="15.75" customHeight="1">
      <c r="A1320" s="1" t="s">
        <v>1292</v>
      </c>
      <c r="B1320" s="2" t="str">
        <f>IFERROR(__xludf.DUMMYFUNCTION("GOOGLETRANSLATE(A1320, ""de"", ""uk"")"),"Її здоров'я дуже важливо для неї.")</f>
        <v>Її здоров'я дуже важливо для неї.</v>
      </c>
    </row>
    <row r="1321" ht="15.75" customHeight="1">
      <c r="A1321" s="1" t="s">
        <v>1293</v>
      </c>
      <c r="B1321" s="2" t="str">
        <f>IFERROR(__xludf.DUMMYFUNCTION("GOOGLETRANSLATE(A1321, ""de"", ""uk"")"),"Раптом у дитини піднялася температура.")</f>
        <v>Раптом у дитини піднялася температура.</v>
      </c>
    </row>
    <row r="1322" ht="15.75" customHeight="1">
      <c r="A1322" s="1" t="s">
        <v>1294</v>
      </c>
      <c r="B1322" s="2" t="str">
        <f>IFERROR(__xludf.DUMMYFUNCTION("GOOGLETRANSLATE(A1322, ""de"", ""uk"")"),"Це погана ситуація.")</f>
        <v>Це погана ситуація.</v>
      </c>
    </row>
    <row r="1323" ht="15.75" customHeight="1">
      <c r="A1323" s="1" t="s">
        <v>1295</v>
      </c>
      <c r="B1323" s="2" t="str">
        <f>IFERROR(__xludf.DUMMYFUNCTION("GOOGLETRANSLATE(A1323, ""de"", ""uk"")"),"Це я можу сказати лише особисто цій людині.")</f>
        <v>Це я можу сказати лише особисто цій людині.</v>
      </c>
    </row>
    <row r="1324" ht="15.75" customHeight="1">
      <c r="A1324" s="1" t="s">
        <v>1296</v>
      </c>
      <c r="B1324" s="2" t="str">
        <f>IFERROR(__xludf.DUMMYFUNCTION("GOOGLETRANSLATE(A1324, ""de"", ""uk"")"),"Ми дуже рідко хворіємо.")</f>
        <v>Ми дуже рідко хворіємо.</v>
      </c>
    </row>
    <row r="1325" ht="15.75" customHeight="1">
      <c r="A1325" s="1" t="s">
        <v>1297</v>
      </c>
      <c r="B1325" s="2" t="str">
        <f>IFERROR(__xludf.DUMMYFUNCTION("GOOGLETRANSLATE(A1325, ""de"", ""uk"")"),"Запис на прийом сьогодні неможливий.")</f>
        <v>Запис на прийом сьогодні неможливий.</v>
      </c>
    </row>
    <row r="1326" ht="15.75" customHeight="1">
      <c r="A1326" s="1" t="s">
        <v>1298</v>
      </c>
      <c r="B1326" s="2" t="str">
        <f>IFERROR(__xludf.DUMMYFUNCTION("GOOGLETRANSLATE(A1326, ""de"", ""uk"")"),"Чоловік ще дуже активний.")</f>
        <v>Чоловік ще дуже активний.</v>
      </c>
    </row>
    <row r="1327" ht="15.75" customHeight="1">
      <c r="A1327" s="1" t="s">
        <v>1299</v>
      </c>
      <c r="B1327" s="2" t="str">
        <f>IFERROR(__xludf.DUMMYFUNCTION("GOOGLETRANSLATE(A1327, ""de"", ""uk"")"),"У мене нормальне тіло.")</f>
        <v>У мене нормальне тіло.</v>
      </c>
    </row>
    <row r="1328" ht="15.75" customHeight="1">
      <c r="A1328" s="1" t="s">
        <v>1300</v>
      </c>
      <c r="B1328" s="2" t="str">
        <f>IFERROR(__xludf.DUMMYFUNCTION("GOOGLETRANSLATE(A1328, ""de"", ""uk"")"),"У неї дуже струнке тіло.")</f>
        <v>У неї дуже струнке тіло.</v>
      </c>
    </row>
    <row r="1329" ht="15.75" customHeight="1">
      <c r="A1329" s="1" t="s">
        <v>1301</v>
      </c>
      <c r="B1329" s="2" t="str">
        <f>IFERROR(__xludf.DUMMYFUNCTION("GOOGLETRANSLATE(A1329, ""de"", ""uk"")"),"Регулярно ходжу до лікаря.")</f>
        <v>Регулярно ходжу до лікаря.</v>
      </c>
    </row>
    <row r="1330" ht="15.75" customHeight="1">
      <c r="A1330" s="1" t="s">
        <v>1302</v>
      </c>
      <c r="B1330" s="2" t="str">
        <f>IFERROR(__xludf.DUMMYFUNCTION("GOOGLETRANSLATE(A1330, ""de"", ""uk"")"),"радіти")</f>
        <v>радіти</v>
      </c>
    </row>
    <row r="1331" ht="15.75" customHeight="1">
      <c r="A1331" s="1" t="s">
        <v>1303</v>
      </c>
      <c r="B1331" s="2" t="str">
        <f>IFERROR(__xludf.DUMMYFUNCTION("GOOGLETRANSLATE(A1331, ""de"", ""uk"")"),"сміятися")</f>
        <v>сміятися</v>
      </c>
    </row>
    <row r="1332" ht="15.75" customHeight="1">
      <c r="A1332" s="1" t="s">
        <v>1304</v>
      </c>
      <c r="B1332" s="2" t="str">
        <f>IFERROR(__xludf.DUMMYFUNCTION("GOOGLETRANSLATE(A1332, ""de"", ""uk"")"),"плакати")</f>
        <v>плакати</v>
      </c>
    </row>
    <row r="1333" ht="15.75" customHeight="1">
      <c r="A1333" s="1" t="s">
        <v>1305</v>
      </c>
      <c r="B1333" s="2" t="str">
        <f>IFERROR(__xludf.DUMMYFUNCTION("GOOGLETRANSLATE(A1333, ""de"", ""uk"")"),"лягти")</f>
        <v>лягти</v>
      </c>
    </row>
    <row r="1334" ht="15.75" customHeight="1">
      <c r="A1334" s="1" t="s">
        <v>1306</v>
      </c>
      <c r="B1334" s="2" t="str">
        <f>IFERROR(__xludf.DUMMYFUNCTION("GOOGLETRANSLATE(A1334, ""de"", ""uk"")"),"бажання")</f>
        <v>бажання</v>
      </c>
    </row>
    <row r="1335" ht="15.75" customHeight="1">
      <c r="A1335" s="1" t="s">
        <v>1307</v>
      </c>
      <c r="B1335" s="2" t="str">
        <f>IFERROR(__xludf.DUMMYFUNCTION("GOOGLETRANSLATE(A1335, ""de"", ""uk"")"),"звіт")</f>
        <v>звіт</v>
      </c>
    </row>
    <row r="1336" ht="15.75" customHeight="1">
      <c r="A1336" s="1" t="s">
        <v>1308</v>
      </c>
      <c r="B1336" s="2" t="str">
        <f>IFERROR(__xludf.DUMMYFUNCTION("GOOGLETRANSLATE(A1336, ""de"", ""uk"")"),"почуватися як")</f>
        <v>почуватися як</v>
      </c>
    </row>
    <row r="1337" ht="15.75" customHeight="1">
      <c r="A1337" s="1" t="s">
        <v>1309</v>
      </c>
      <c r="B1337" s="2" t="str">
        <f>IFERROR(__xludf.DUMMYFUNCTION("GOOGLETRANSLATE(A1337, ""de"", ""uk"")"),"стати")</f>
        <v>стати</v>
      </c>
    </row>
    <row r="1338" ht="15.75" customHeight="1">
      <c r="A1338" s="1" t="s">
        <v>1310</v>
      </c>
      <c r="B1338" s="2" t="str">
        <f>IFERROR(__xludf.DUMMYFUNCTION("GOOGLETRANSLATE(A1338, ""de"", ""uk"")"),"посмішка")</f>
        <v>посмішка</v>
      </c>
    </row>
    <row r="1339" ht="15.75" customHeight="1">
      <c r="A1339" s="1" t="s">
        <v>1311</v>
      </c>
      <c r="B1339" s="2" t="str">
        <f>IFERROR(__xludf.DUMMYFUNCTION("GOOGLETRANSLATE(A1339, ""de"", ""uk"")"),"думаю")</f>
        <v>думаю</v>
      </c>
    </row>
    <row r="1340" ht="15.75" customHeight="1">
      <c r="A1340" s="1" t="s">
        <v>1312</v>
      </c>
      <c r="B1340" s="2" t="str">
        <f>IFERROR(__xludf.DUMMYFUNCTION("GOOGLETRANSLATE(A1340, ""de"", ""uk"")"),"хвилюватися")</f>
        <v>хвилюватися</v>
      </c>
    </row>
    <row r="1341" ht="15.75" customHeight="1">
      <c r="A1341" s="1" t="s">
        <v>1313</v>
      </c>
      <c r="B1341" s="2" t="str">
        <f>IFERROR(__xludf.DUMMYFUNCTION("GOOGLETRANSLATE(A1341, ""de"", ""uk"")"),"на жаль")</f>
        <v>на жаль</v>
      </c>
    </row>
    <row r="1342" ht="15.75" customHeight="1">
      <c r="A1342" s="1" t="s">
        <v>1314</v>
      </c>
      <c r="B1342" s="2" t="str">
        <f>IFERROR(__xludf.DUMMYFUNCTION("GOOGLETRANSLATE(A1342, ""de"", ""uk"")"),"людина")</f>
        <v>людина</v>
      </c>
    </row>
    <row r="1343" ht="15.75" customHeight="1">
      <c r="A1343" s="1" t="s">
        <v>230</v>
      </c>
      <c r="B1343" s="2" t="str">
        <f>IFERROR(__xludf.DUMMYFUNCTION("GOOGLETRANSLATE(A1343, ""de"", ""uk"")"),"завжди")</f>
        <v>завжди</v>
      </c>
    </row>
    <row r="1344" ht="15.75" customHeight="1">
      <c r="A1344" s="1" t="s">
        <v>1315</v>
      </c>
      <c r="B1344" s="2" t="str">
        <f>IFERROR(__xludf.DUMMYFUNCTION("GOOGLETRANSLATE(A1344, ""de"", ""uk"")"),"дійсно")</f>
        <v>дійсно</v>
      </c>
    </row>
    <row r="1345" ht="15.75" customHeight="1">
      <c r="A1345" s="1" t="s">
        <v>1316</v>
      </c>
      <c r="B1345" s="2" t="str">
        <f>IFERROR(__xludf.DUMMYFUNCTION("GOOGLETRANSLATE(A1345, ""de"", ""uk"")"),"дуже погано")</f>
        <v>дуже погано</v>
      </c>
    </row>
    <row r="1346" ht="15.75" customHeight="1">
      <c r="A1346" s="1" t="s">
        <v>1317</v>
      </c>
      <c r="B1346" s="2" t="str">
        <f>IFERROR(__xludf.DUMMYFUNCTION("GOOGLETRANSLATE(A1346, ""de"", ""uk"")"),"так")</f>
        <v>так</v>
      </c>
    </row>
    <row r="1347" ht="15.75" customHeight="1">
      <c r="A1347" s="1" t="s">
        <v>1318</v>
      </c>
      <c r="B1347" s="2" t="str">
        <f>IFERROR(__xludf.DUMMYFUNCTION("GOOGLETRANSLATE(A1347, ""de"", ""uk"")"),"насправді")</f>
        <v>насправді</v>
      </c>
    </row>
    <row r="1348" ht="15.75" customHeight="1">
      <c r="A1348" s="1" t="s">
        <v>1319</v>
      </c>
      <c r="B1348" s="2" t="str">
        <f>IFERROR(__xludf.DUMMYFUNCTION("GOOGLETRANSLATE(A1348, ""de"", ""uk"")"),"щасливий")</f>
        <v>щасливий</v>
      </c>
    </row>
    <row r="1349" ht="15.75" customHeight="1">
      <c r="A1349" s="1" t="s">
        <v>1320</v>
      </c>
      <c r="B1349" s="2" t="str">
        <f>IFERROR(__xludf.DUMMYFUNCTION("GOOGLETRANSLATE(A1349, ""de"", ""uk"")"),"задоволений")</f>
        <v>задоволений</v>
      </c>
    </row>
    <row r="1350" ht="15.75" customHeight="1">
      <c r="A1350" s="1" t="s">
        <v>1321</v>
      </c>
      <c r="B1350" s="2" t="str">
        <f>IFERROR(__xludf.DUMMYFUNCTION("GOOGLETRANSLATE(A1350, ""de"", ""uk"")"),"нещасний")</f>
        <v>нещасний</v>
      </c>
    </row>
    <row r="1351" ht="15.75" customHeight="1">
      <c r="A1351" s="1" t="s">
        <v>1322</v>
      </c>
      <c r="B1351" s="2" t="str">
        <f>IFERROR(__xludf.DUMMYFUNCTION("GOOGLETRANSLATE(A1351, ""de"", ""uk"")"),"дорогий")</f>
        <v>дорогий</v>
      </c>
    </row>
    <row r="1352" ht="15.75" customHeight="1">
      <c r="A1352" s="1" t="s">
        <v>1323</v>
      </c>
      <c r="B1352" s="2" t="str">
        <f>IFERROR(__xludf.DUMMYFUNCTION("GOOGLETRANSLATE(A1352, ""de"", ""uk"")"),"зло")</f>
        <v>зло</v>
      </c>
    </row>
    <row r="1353" ht="15.75" customHeight="1">
      <c r="A1353" s="1" t="s">
        <v>1324</v>
      </c>
      <c r="B1353" s="2" t="str">
        <f>IFERROR(__xludf.DUMMYFUNCTION("GOOGLETRANSLATE(A1353, ""de"", ""uk"")"),"смішно")</f>
        <v>смішно</v>
      </c>
    </row>
    <row r="1354" ht="15.75" customHeight="1">
      <c r="A1354" s="1" t="s">
        <v>1325</v>
      </c>
      <c r="B1354" s="2" t="str">
        <f>IFERROR(__xludf.DUMMYFUNCTION("GOOGLETRANSLATE(A1354, ""de"", ""uk"")"),"сумний")</f>
        <v>сумний</v>
      </c>
    </row>
    <row r="1355" ht="15.75" customHeight="1">
      <c r="A1355" s="1" t="s">
        <v>1326</v>
      </c>
      <c r="B1355" s="2" t="str">
        <f>IFERROR(__xludf.DUMMYFUNCTION("GOOGLETRANSLATE(A1355, ""de"", ""uk"")"),"прокинутися")</f>
        <v>прокинутися</v>
      </c>
    </row>
    <row r="1356" ht="15.75" customHeight="1">
      <c r="A1356" s="1" t="s">
        <v>1327</v>
      </c>
      <c r="B1356" s="2" t="str">
        <f>IFERROR(__xludf.DUMMYFUNCTION("GOOGLETRANSLATE(A1356, ""de"", ""uk"")"),"втомився")</f>
        <v>втомився</v>
      </c>
    </row>
    <row r="1357" ht="15.75" customHeight="1">
      <c r="A1357" s="1" t="s">
        <v>1328</v>
      </c>
      <c r="B1357" s="2" t="str">
        <f>IFERROR(__xludf.DUMMYFUNCTION("GOOGLETRANSLATE(A1357, ""de"", ""uk"")"),"ясно")</f>
        <v>ясно</v>
      </c>
    </row>
    <row r="1358" ht="15.75" customHeight="1">
      <c r="A1358" s="1" t="s">
        <v>1329</v>
      </c>
      <c r="B1358" s="2" t="str">
        <f>IFERROR(__xludf.DUMMYFUNCTION("GOOGLETRANSLATE(A1358, ""de"", ""uk"")"),"правда")</f>
        <v>правда</v>
      </c>
    </row>
    <row r="1359" ht="15.75" customHeight="1">
      <c r="A1359" s="1" t="s">
        <v>1330</v>
      </c>
      <c r="B1359" s="2" t="str">
        <f>IFERROR(__xludf.DUMMYFUNCTION("GOOGLETRANSLATE(A1359, ""de"", ""uk"")"),"чудово")</f>
        <v>чудово</v>
      </c>
    </row>
    <row r="1360" ht="15.75" customHeight="1">
      <c r="A1360" s="1" t="s">
        <v>1331</v>
      </c>
      <c r="B1360" s="2" t="str">
        <f>IFERROR(__xludf.DUMMYFUNCTION("GOOGLETRANSLATE(A1360, ""de"", ""uk"")"),"чудово")</f>
        <v>чудово</v>
      </c>
    </row>
    <row r="1361" ht="15.75" customHeight="1">
      <c r="A1361" s="1" t="s">
        <v>1332</v>
      </c>
      <c r="B1361" s="2" t="str">
        <f>IFERROR(__xludf.DUMMYFUNCTION("GOOGLETRANSLATE(A1361, ""de"", ""uk"")"),"приємно")</f>
        <v>приємно</v>
      </c>
    </row>
    <row r="1362" ht="15.75" customHeight="1">
      <c r="A1362" s="1" t="s">
        <v>1333</v>
      </c>
      <c r="B1362" s="2" t="str">
        <f>IFERROR(__xludf.DUMMYFUNCTION("GOOGLETRANSLATE(A1362, ""de"", ""uk"")"),"приємний")</f>
        <v>приємний</v>
      </c>
    </row>
    <row r="1363" ht="15.75" customHeight="1">
      <c r="A1363" s="1" t="s">
        <v>1334</v>
      </c>
      <c r="B1363" s="2" t="str">
        <f>IFERROR(__xludf.DUMMYFUNCTION("GOOGLETRANSLATE(A1363, ""de"", ""uk"")"),"дружній")</f>
        <v>дружній</v>
      </c>
    </row>
    <row r="1364" ht="15.75" customHeight="1">
      <c r="A1364" s="1" t="s">
        <v>1335</v>
      </c>
      <c r="B1364" s="2" t="str">
        <f>IFERROR(__xludf.DUMMYFUNCTION("GOOGLETRANSLATE(A1364, ""de"", ""uk"")"),"Вона дуже рада подарунку.")</f>
        <v>Вона дуже рада подарунку.</v>
      </c>
    </row>
    <row r="1365" ht="15.75" customHeight="1">
      <c r="A1365" s="1" t="s">
        <v>1336</v>
      </c>
      <c r="B1365" s="2" t="str">
        <f>IFERROR(__xludf.DUMMYFUNCTION("GOOGLETRANSLATE(A1365, ""de"", ""uk"")"),"Дитина сміється над людиною.")</f>
        <v>Дитина сміється над людиною.</v>
      </c>
    </row>
    <row r="1366" ht="15.75" customHeight="1">
      <c r="A1366" s="1" t="s">
        <v>1337</v>
      </c>
      <c r="B1366" s="2" t="str">
        <f>IFERROR(__xludf.DUMMYFUNCTION("GOOGLETRANSLATE(A1366, ""de"", ""uk"")"),"Жінка щодня плаче.")</f>
        <v>Жінка щодня плаче.</v>
      </c>
    </row>
    <row r="1367" ht="15.75" customHeight="1">
      <c r="A1367" s="1" t="s">
        <v>1338</v>
      </c>
      <c r="B1367" s="2" t="str">
        <f>IFERROR(__xludf.DUMMYFUNCTION("GOOGLETRANSLATE(A1367, ""de"", ""uk"")"),"Я хотів би зараз лягти.")</f>
        <v>Я хотів би зараз лягти.</v>
      </c>
    </row>
    <row r="1368" ht="15.75" customHeight="1">
      <c r="A1368" s="1" t="s">
        <v>1339</v>
      </c>
      <c r="B1368" s="2" t="str">
        <f>IFERROR(__xludf.DUMMYFUNCTION("GOOGLETRANSLATE(A1368, ""de"", ""uk"")"),"Хочу гарний подарунок.")</f>
        <v>Хочу гарний подарунок.</v>
      </c>
    </row>
    <row r="1369" ht="15.75" customHeight="1">
      <c r="A1369" s="1" t="s">
        <v>1340</v>
      </c>
      <c r="B1369" s="2" t="str">
        <f>IFERROR(__xludf.DUMMYFUNCTION("GOOGLETRANSLATE(A1369, ""de"", ""uk"")"),"Дитина звітує про свій день.")</f>
        <v>Дитина звітує про свій день.</v>
      </c>
    </row>
    <row r="1370" ht="15.75" customHeight="1">
      <c r="A1370" s="1" t="s">
        <v>1341</v>
      </c>
      <c r="B1370" s="2" t="str">
        <f>IFERROR(__xludf.DUMMYFUNCTION("GOOGLETRANSLATE(A1370, ""de"", ""uk"")"),"Нам не хочеться готувати.")</f>
        <v>Нам не хочеться готувати.</v>
      </c>
    </row>
    <row r="1371" ht="15.75" customHeight="1">
      <c r="A1371" s="1" t="s">
        <v>1342</v>
      </c>
      <c r="B1371" s="2" t="str">
        <f>IFERROR(__xludf.DUMMYFUNCTION("GOOGLETRANSLATE(A1371, ""de"", ""uk"")"),"Ти нарешті допоможеш мені?")</f>
        <v>Ти нарешті допоможеш мені?</v>
      </c>
    </row>
    <row r="1372" ht="15.75" customHeight="1">
      <c r="A1372" s="1" t="s">
        <v>1343</v>
      </c>
      <c r="B1372" s="2" t="str">
        <f>IFERROR(__xludf.DUMMYFUNCTION("GOOGLETRANSLATE(A1372, ""de"", ""uk"")"),"Чоловік вітається, а жінка посміхається.")</f>
        <v>Чоловік вітається, а жінка посміхається.</v>
      </c>
    </row>
    <row r="1373" ht="15.75" customHeight="1">
      <c r="A1373" s="1" t="s">
        <v>1344</v>
      </c>
      <c r="B1373" s="2" t="str">
        <f>IFERROR(__xludf.DUMMYFUNCTION("GOOGLETRANSLATE(A1373, ""de"", ""uk"")"),"Мені здається ресторан не дуже хороший.")</f>
        <v>Мені здається ресторан не дуже хороший.</v>
      </c>
    </row>
    <row r="1374" ht="15.75" customHeight="1">
      <c r="A1374" s="1" t="s">
        <v>1345</v>
      </c>
      <c r="B1374" s="2" t="str">
        <f>IFERROR(__xludf.DUMMYFUNCTION("GOOGLETRANSLATE(A1374, ""de"", ""uk"")"),"Лікар хвилюється за здоров'я пацієнта.")</f>
        <v>Лікар хвилюється за здоров'я пацієнта.</v>
      </c>
    </row>
    <row r="1375" ht="15.75" customHeight="1">
      <c r="A1375" s="1" t="s">
        <v>1346</v>
      </c>
      <c r="B1375" s="2" t="str">
        <f>IFERROR(__xludf.DUMMYFUNCTION("GOOGLETRANSLATE(A1375, ""de"", ""uk"")"),"на жаль я не можу тобі допомогти.")</f>
        <v>на жаль я не можу тобі допомогти.</v>
      </c>
    </row>
    <row r="1376" ht="15.75" customHeight="1">
      <c r="A1376" s="1" t="s">
        <v>1347</v>
      </c>
      <c r="B1376" s="2" t="str">
        <f>IFERROR(__xludf.DUMMYFUNCTION("GOOGLETRANSLATE(A1376, ""de"", ""uk"")"),"Тут цього не робиш.")</f>
        <v>Тут цього не робиш.</v>
      </c>
    </row>
    <row r="1377" ht="15.75" customHeight="1">
      <c r="A1377" s="1" t="s">
        <v>1348</v>
      </c>
      <c r="B1377" s="2" t="str">
        <f>IFERROR(__xludf.DUMMYFUNCTION("GOOGLETRANSLATE(A1377, ""de"", ""uk"")"),"Я дуже голодний.")</f>
        <v>Я дуже голодний.</v>
      </c>
    </row>
    <row r="1378" ht="15.75" customHeight="1">
      <c r="A1378" s="1" t="s">
        <v>1349</v>
      </c>
      <c r="B1378" s="2" t="str">
        <f>IFERROR(__xludf.DUMMYFUNCTION("GOOGLETRANSLATE(A1378, ""de"", ""uk"")"),"Шкода, що ресторан уже закритий.")</f>
        <v>Шкода, що ресторан уже закритий.</v>
      </c>
    </row>
    <row r="1379" ht="15.75" customHeight="1">
      <c r="A1379" s="1" t="s">
        <v>1350</v>
      </c>
      <c r="B1379" s="2" t="str">
        <f>IFERROR(__xludf.DUMMYFUNCTION("GOOGLETRANSLATE(A1379, ""de"", ""uk"")"),"Я голодний, тому я їм піцу.")</f>
        <v>Я голодний, тому я їм піцу.</v>
      </c>
    </row>
    <row r="1380" ht="15.75" customHeight="1">
      <c r="A1380" s="1" t="s">
        <v>1351</v>
      </c>
      <c r="B1380" s="2" t="str">
        <f>IFERROR(__xludf.DUMMYFUNCTION("GOOGLETRANSLATE(A1380, ""de"", ""uk"")"),"Насправді я не хочу з тобою говорити.")</f>
        <v>Насправді я не хочу з тобою говорити.</v>
      </c>
    </row>
    <row r="1381" ht="15.75" customHeight="1">
      <c r="A1381" s="1" t="s">
        <v>1352</v>
      </c>
      <c r="B1381" s="2" t="str">
        <f>IFERROR(__xludf.DUMMYFUNCTION("GOOGLETRANSLATE(A1381, ""de"", ""uk"")"),"Я не щаслива.")</f>
        <v>Я не щаслива.</v>
      </c>
    </row>
    <row r="1382" ht="15.75" customHeight="1">
      <c r="A1382" s="1" t="s">
        <v>1353</v>
      </c>
      <c r="B1382" s="2" t="str">
        <f>IFERROR(__xludf.DUMMYFUNCTION("GOOGLETRANSLATE(A1382, ""de"", ""uk"")"),"Я дуже щаслива з тобою.")</f>
        <v>Я дуже щаслива з тобою.</v>
      </c>
    </row>
    <row r="1383" ht="15.75" customHeight="1">
      <c r="A1383" s="1" t="s">
        <v>1354</v>
      </c>
      <c r="B1383" s="2" t="str">
        <f>IFERROR(__xludf.DUMMYFUNCTION("GOOGLETRANSLATE(A1383, ""de"", ""uk"")"),"Сьогодні я дуже нещасний.")</f>
        <v>Сьогодні я дуже нещасний.</v>
      </c>
    </row>
    <row r="1384" ht="15.75" customHeight="1">
      <c r="A1384" s="1" t="s">
        <v>1355</v>
      </c>
      <c r="B1384" s="2" t="str">
        <f>IFERROR(__xludf.DUMMYFUNCTION("GOOGLETRANSLATE(A1384, ""de"", ""uk"")"),"я тебе дуже люблю")</f>
        <v>я тебе дуже люблю</v>
      </c>
    </row>
    <row r="1385" ht="15.75" customHeight="1">
      <c r="A1385" s="1" t="s">
        <v>1356</v>
      </c>
      <c r="B1385" s="2" t="str">
        <f>IFERROR(__xludf.DUMMYFUNCTION("GOOGLETRANSLATE(A1385, ""de"", ""uk"")"),"Дитина була дуже зла.")</f>
        <v>Дитина була дуже зла.</v>
      </c>
    </row>
    <row r="1386" ht="15.75" customHeight="1">
      <c r="A1386" s="1" t="s">
        <v>1357</v>
      </c>
      <c r="B1386" s="2" t="str">
        <f>IFERROR(__xludf.DUMMYFUNCTION("GOOGLETRANSLATE(A1386, ""de"", ""uk"")"),"Офіціант в ресторані дуже веселий.")</f>
        <v>Офіціант в ресторані дуже веселий.</v>
      </c>
    </row>
    <row r="1387" ht="15.75" customHeight="1">
      <c r="A1387" s="1" t="s">
        <v>1358</v>
      </c>
      <c r="B1387" s="2" t="str">
        <f>IFERROR(__xludf.DUMMYFUNCTION("GOOGLETRANSLATE(A1387, ""de"", ""uk"")"),"Тепер мені сумно.")</f>
        <v>Тепер мені сумно.</v>
      </c>
    </row>
    <row r="1388" ht="15.75" customHeight="1">
      <c r="A1388" s="1" t="s">
        <v>1359</v>
      </c>
      <c r="B1388" s="2" t="str">
        <f>IFERROR(__xludf.DUMMYFUNCTION("GOOGLETRANSLATE(A1388, ""de"", ""uk"")"),"Сьогодні вранці я прокинувся рано.")</f>
        <v>Сьогодні вранці я прокинувся рано.</v>
      </c>
    </row>
    <row r="1389" ht="15.75" customHeight="1">
      <c r="A1389" s="1" t="s">
        <v>1360</v>
      </c>
      <c r="B1389" s="2" t="str">
        <f>IFERROR(__xludf.DUMMYFUNCTION("GOOGLETRANSLATE(A1389, ""de"", ""uk"")"),"Дитина мало спав і тому сильно втомився.")</f>
        <v>Дитина мало спав і тому сильно втомився.</v>
      </c>
    </row>
    <row r="1390" ht="15.75" customHeight="1">
      <c r="A1390" s="1" t="s">
        <v>1361</v>
      </c>
      <c r="B1390" s="2" t="str">
        <f>IFERROR(__xludf.DUMMYFUNCTION("GOOGLETRANSLATE(A1390, ""de"", ""uk"")"),"Звичайно, звичайно.")</f>
        <v>Звичайно, звичайно.</v>
      </c>
    </row>
    <row r="1391" ht="15.75" customHeight="1">
      <c r="A1391" s="1" t="s">
        <v>1362</v>
      </c>
      <c r="B1391" s="2" t="str">
        <f>IFERROR(__xludf.DUMMYFUNCTION("GOOGLETRANSLATE(A1391, ""de"", ""uk"")"),"Це правда?")</f>
        <v>Це правда?</v>
      </c>
    </row>
    <row r="1392" ht="15.75" customHeight="1">
      <c r="A1392" s="1" t="s">
        <v>1363</v>
      </c>
      <c r="B1392" s="2" t="str">
        <f>IFERROR(__xludf.DUMMYFUNCTION("GOOGLETRANSLATE(A1392, ""de"", ""uk"")"),"Ви зробили це чудово.")</f>
        <v>Ви зробили це чудово.</v>
      </c>
    </row>
    <row r="1393" ht="15.75" customHeight="1">
      <c r="A1393" s="1" t="s">
        <v>1364</v>
      </c>
      <c r="B1393" s="2" t="str">
        <f>IFERROR(__xludf.DUMMYFUNCTION("GOOGLETRANSLATE(A1393, ""de"", ""uk"")"),"Це дійсно чудовий ресторан.")</f>
        <v>Це дійсно чудовий ресторан.</v>
      </c>
    </row>
    <row r="1394" ht="15.75" customHeight="1">
      <c r="A1394" s="1" t="s">
        <v>1365</v>
      </c>
      <c r="B1394" s="2" t="str">
        <f>IFERROR(__xludf.DUMMYFUNCTION("GOOGLETRANSLATE(A1394, ""de"", ""uk"")"),"Гість з Німеччини дуже хороший.")</f>
        <v>Гість з Німеччини дуже хороший.</v>
      </c>
    </row>
    <row r="1395" ht="15.75" customHeight="1">
      <c r="A1395" s="1" t="s">
        <v>1366</v>
      </c>
      <c r="B1395" s="2" t="str">
        <f>IFERROR(__xludf.DUMMYFUNCTION("GOOGLETRANSLATE(A1395, ""de"", ""uk"")"),"Мені було дуже приємно.")</f>
        <v>Мені було дуже приємно.</v>
      </c>
    </row>
    <row r="1396" ht="15.75" customHeight="1">
      <c r="A1396" s="1" t="s">
        <v>1367</v>
      </c>
      <c r="B1396" s="2" t="str">
        <f>IFERROR(__xludf.DUMMYFUNCTION("GOOGLETRANSLATE(A1396, ""de"", ""uk"")"),"Продавець завжди привітний до клієнтів.")</f>
        <v>Продавець завжди привітний до клієнтів.</v>
      </c>
    </row>
    <row r="1397" ht="15.75" customHeight="1">
      <c r="A1397" s="1" t="s">
        <v>1368</v>
      </c>
      <c r="B1397" s="2" t="str">
        <f>IFERROR(__xludf.DUMMYFUNCTION("GOOGLETRANSLATE(A1397, ""de"", ""uk"")"),"диск")</f>
        <v>диск</v>
      </c>
    </row>
    <row r="1398" ht="15.75" customHeight="1">
      <c r="A1398" s="1" t="s">
        <v>1369</v>
      </c>
      <c r="B1398" s="2" t="str">
        <f>IFERROR(__xludf.DUMMYFUNCTION("GOOGLETRANSLATE(A1398, ""de"", ""uk"")"),"входити")</f>
        <v>входити</v>
      </c>
    </row>
    <row r="1399" ht="15.75" customHeight="1">
      <c r="A1399" s="1" t="s">
        <v>1370</v>
      </c>
      <c r="B1399" s="2" t="str">
        <f>IFERROR(__xludf.DUMMYFUNCTION("GOOGLETRANSLATE(A1399, ""de"", ""uk"")"),"вихід")</f>
        <v>вихід</v>
      </c>
    </row>
    <row r="1400" ht="15.75" customHeight="1">
      <c r="A1400" s="1" t="s">
        <v>1371</v>
      </c>
      <c r="B1400" s="2" t="str">
        <f>IFERROR(__xludf.DUMMYFUNCTION("GOOGLETRANSLATE(A1400, ""de"", ""uk"")"),"подорожі")</f>
        <v>подорожі</v>
      </c>
    </row>
    <row r="1401" ht="15.75" customHeight="1">
      <c r="A1401" s="1" t="s">
        <v>1372</v>
      </c>
      <c r="B1401" s="2" t="str">
        <f>IFERROR(__xludf.DUMMYFUNCTION("GOOGLETRANSLATE(A1401, ""de"", ""uk"")"),"літати")</f>
        <v>літати</v>
      </c>
    </row>
    <row r="1402" ht="15.75" customHeight="1">
      <c r="A1402" s="1" t="s">
        <v>1373</v>
      </c>
      <c r="B1402" s="2" t="str">
        <f>IFERROR(__xludf.DUMMYFUNCTION("GOOGLETRANSLATE(A1402, ""de"", ""uk"")"),"йти")</f>
        <v>йти</v>
      </c>
    </row>
    <row r="1403" ht="15.75" customHeight="1">
      <c r="A1403" s="1" t="s">
        <v>1374</v>
      </c>
      <c r="B1403" s="2" t="str">
        <f>IFERROR(__xludf.DUMMYFUNCTION("GOOGLETRANSLATE(A1403, ""de"", ""uk"")"),"бігти")</f>
        <v>бігти</v>
      </c>
    </row>
    <row r="1404" ht="15.75" customHeight="1">
      <c r="A1404" s="1" t="s">
        <v>1375</v>
      </c>
      <c r="B1404" s="2" t="str">
        <f>IFERROR(__xludf.DUMMYFUNCTION("GOOGLETRANSLATE(A1404, ""de"", ""uk"")"),"принести")</f>
        <v>принести</v>
      </c>
    </row>
    <row r="1405" ht="15.75" customHeight="1">
      <c r="A1405" s="1" t="s">
        <v>1376</v>
      </c>
      <c r="B1405" s="2" t="str">
        <f>IFERROR(__xludf.DUMMYFUNCTION("GOOGLETRANSLATE(A1405, ""de"", ""uk"")"),"принести")</f>
        <v>принести</v>
      </c>
    </row>
    <row r="1406" ht="15.75" customHeight="1">
      <c r="A1406" s="1" t="s">
        <v>1377</v>
      </c>
      <c r="B1406" s="2" t="str">
        <f>IFERROR(__xludf.DUMMYFUNCTION("GOOGLETRANSLATE(A1406, ""de"", ""uk"")"),"залишаються")</f>
        <v>залишаються</v>
      </c>
    </row>
    <row r="1407" ht="15.75" customHeight="1">
      <c r="A1407" s="1" t="s">
        <v>1378</v>
      </c>
      <c r="B1407" s="2" t="str">
        <f>IFERROR(__xludf.DUMMYFUNCTION("GOOGLETRANSLATE(A1407, ""de"", ""uk"")"),"зустріти")</f>
        <v>зустріти</v>
      </c>
    </row>
    <row r="1408" ht="15.75" customHeight="1">
      <c r="A1408" s="1" t="s">
        <v>1379</v>
      </c>
      <c r="B1408" s="2" t="str">
        <f>IFERROR(__xludf.DUMMYFUNCTION("GOOGLETRANSLATE(A1408, ""de"", ""uk"")"),"шукати")</f>
        <v>шукати</v>
      </c>
    </row>
    <row r="1409" ht="15.75" customHeight="1">
      <c r="A1409" s="1" t="s">
        <v>1380</v>
      </c>
      <c r="B1409" s="2" t="str">
        <f>IFERROR(__xludf.DUMMYFUNCTION("GOOGLETRANSLATE(A1409, ""de"", ""uk"")"),"знайти")</f>
        <v>знайти</v>
      </c>
    </row>
    <row r="1410" ht="15.75" customHeight="1">
      <c r="A1410" s="1" t="s">
        <v>1381</v>
      </c>
      <c r="B1410" s="2" t="str">
        <f>IFERROR(__xludf.DUMMYFUNCTION("GOOGLETRANSLATE(A1410, ""de"", ""uk"")"),"шоу")</f>
        <v>шоу</v>
      </c>
    </row>
    <row r="1411" ht="15.75" customHeight="1">
      <c r="A1411" s="1" t="s">
        <v>1382</v>
      </c>
      <c r="B1411" s="2" t="str">
        <f>IFERROR(__xludf.DUMMYFUNCTION("GOOGLETRANSLATE(A1411, ""de"", ""uk"")"),"попрощатися")</f>
        <v>попрощатися</v>
      </c>
    </row>
    <row r="1412" ht="15.75" customHeight="1">
      <c r="A1412" s="1" t="s">
        <v>1383</v>
      </c>
      <c r="B1412" s="2" t="str">
        <f>IFERROR(__xludf.DUMMYFUNCTION("GOOGLETRANSLATE(A1412, ""de"", ""uk"")"),"підключити")</f>
        <v>підключити</v>
      </c>
    </row>
    <row r="1413" ht="15.75" customHeight="1">
      <c r="A1413" s="1" t="s">
        <v>1384</v>
      </c>
      <c r="B1413" s="2" t="str">
        <f>IFERROR(__xludf.DUMMYFUNCTION("GOOGLETRANSLATE(A1413, ""de"", ""uk"")"),"привести")</f>
        <v>привести</v>
      </c>
    </row>
    <row r="1414" ht="15.75" customHeight="1">
      <c r="A1414" s="1" t="s">
        <v>1385</v>
      </c>
      <c r="B1414" s="2" t="str">
        <f>IFERROR(__xludf.DUMMYFUNCTION("GOOGLETRANSLATE(A1414, ""de"", ""uk"")"),"приходьте")</f>
        <v>приходьте</v>
      </c>
    </row>
    <row r="1415" ht="15.75" customHeight="1">
      <c r="A1415" s="1" t="s">
        <v>1386</v>
      </c>
      <c r="B1415" s="2" t="str">
        <f>IFERROR(__xludf.DUMMYFUNCTION("GOOGLETRANSLATE(A1415, ""de"", ""uk"")"),"передача")</f>
        <v>передача</v>
      </c>
    </row>
    <row r="1416" ht="15.75" customHeight="1">
      <c r="A1416" s="1" t="s">
        <v>1387</v>
      </c>
      <c r="B1416" s="2" t="str">
        <f>IFERROR(__xludf.DUMMYFUNCTION("GOOGLETRANSLATE(A1416, ""de"", ""uk"")"),"взяти з собою")</f>
        <v>взяти з собою</v>
      </c>
    </row>
    <row r="1417" ht="15.75" customHeight="1">
      <c r="A1417" s="1" t="s">
        <v>1388</v>
      </c>
      <c r="B1417" s="2" t="str">
        <f>IFERROR(__xludf.DUMMYFUNCTION("GOOGLETRANSLATE(A1417, ""de"", ""uk"")"),"планувати")</f>
        <v>планувати</v>
      </c>
    </row>
    <row r="1418" ht="15.75" customHeight="1">
      <c r="A1418" s="1" t="s">
        <v>1389</v>
      </c>
      <c r="B1418" s="2" t="str">
        <f>IFERROR(__xludf.DUMMYFUNCTION("GOOGLETRANSLATE(A1418, ""de"", ""uk"")"),"сигналити")</f>
        <v>сигналити</v>
      </c>
    </row>
    <row r="1419" ht="15.75" customHeight="1">
      <c r="A1419" s="1" t="s">
        <v>1390</v>
      </c>
      <c r="B1419" s="2" t="str">
        <f>IFERROR(__xludf.DUMMYFUNCTION("GOOGLETRANSLATE(A1419, ""de"", ""uk"")"),"організовувати")</f>
        <v>організовувати</v>
      </c>
    </row>
    <row r="1420" ht="15.75" customHeight="1">
      <c r="A1420" s="1" t="s">
        <v>1391</v>
      </c>
      <c r="B1420" s="2" t="str">
        <f>IFERROR(__xludf.DUMMYFUNCTION("GOOGLETRANSLATE(A1420, ""de"", ""uk"")"),"подорожі")</f>
        <v>подорожі</v>
      </c>
    </row>
    <row r="1421" ht="15.75" customHeight="1">
      <c r="A1421" s="1" t="s">
        <v>1392</v>
      </c>
      <c r="B1421" s="2" t="str">
        <f>IFERROR(__xludf.DUMMYFUNCTION("GOOGLETRANSLATE(A1421, ""de"", ""uk"")"),"прибути")</f>
        <v>прибути</v>
      </c>
    </row>
    <row r="1422" ht="15.75" customHeight="1">
      <c r="A1422" s="1" t="s">
        <v>1393</v>
      </c>
      <c r="B1422" s="2" t="str">
        <f>IFERROR(__xludf.DUMMYFUNCTION("GOOGLETRANSLATE(A1422, ""de"", ""uk"")"),"розпакування")</f>
        <v>розпакування</v>
      </c>
    </row>
    <row r="1423" ht="15.75" customHeight="1">
      <c r="A1423" s="1" t="s">
        <v>1394</v>
      </c>
      <c r="B1423" s="2" t="str">
        <f>IFERROR(__xludf.DUMMYFUNCTION("GOOGLETRANSLATE(A1423, ""de"", ""uk"")"),"інформ")</f>
        <v>інформ</v>
      </c>
    </row>
    <row r="1424" ht="15.75" customHeight="1">
      <c r="A1424" s="1" t="s">
        <v>1395</v>
      </c>
      <c r="B1424" s="2" t="str">
        <f>IFERROR(__xludf.DUMMYFUNCTION("GOOGLETRANSLATE(A1424, ""de"", ""uk"")"),"упаковка")</f>
        <v>упаковка</v>
      </c>
    </row>
    <row r="1425" ht="15.75" customHeight="1">
      <c r="A1425" s="1" t="s">
        <v>1396</v>
      </c>
      <c r="B1425" s="2" t="str">
        <f>IFERROR(__xludf.DUMMYFUNCTION("GOOGLETRANSLATE(A1425, ""de"", ""uk"")"),"парк")</f>
        <v>парк</v>
      </c>
    </row>
    <row r="1426" ht="15.75" customHeight="1">
      <c r="A1426" s="1" t="s">
        <v>1397</v>
      </c>
      <c r="B1426" s="2" t="str">
        <f>IFERROR(__xludf.DUMMYFUNCTION("GOOGLETRANSLATE(A1426, ""de"", ""uk"")"),"відправлятися")</f>
        <v>відправлятися</v>
      </c>
    </row>
    <row r="1427" ht="15.75" customHeight="1">
      <c r="A1427" s="1" t="s">
        <v>1398</v>
      </c>
      <c r="B1427" s="2" t="str">
        <f>IFERROR(__xludf.DUMMYFUNCTION("GOOGLETRANSLATE(A1427, ""de"", ""uk"")"),"йти туди")</f>
        <v>йти туди</v>
      </c>
    </row>
    <row r="1428" ht="15.75" customHeight="1">
      <c r="A1428" s="1" t="s">
        <v>1399</v>
      </c>
      <c r="B1428" s="2" t="str">
        <f>IFERROR(__xludf.DUMMYFUNCTION("GOOGLETRANSLATE(A1428, ""de"", ""uk"")"),"відправити")</f>
        <v>відправити</v>
      </c>
    </row>
    <row r="1429" ht="15.75" customHeight="1">
      <c r="A1429" s="1" t="s">
        <v>1400</v>
      </c>
      <c r="B1429" s="2" t="str">
        <f>IFERROR(__xludf.DUMMYFUNCTION("GOOGLETRANSLATE(A1429, ""de"", ""uk"")"),"окремо")</f>
        <v>окремо</v>
      </c>
    </row>
    <row r="1430" ht="15.75" customHeight="1">
      <c r="A1430" s="1" t="s">
        <v>1401</v>
      </c>
      <c r="B1430" s="2" t="str">
        <f>IFERROR(__xludf.DUMMYFUNCTION("GOOGLETRANSLATE(A1430, ""de"", ""uk"")"),"повернутися")</f>
        <v>повернутися</v>
      </c>
    </row>
    <row r="1431" ht="15.75" customHeight="1">
      <c r="A1431" s="1" t="s">
        <v>1402</v>
      </c>
      <c r="B1431" s="2" t="str">
        <f>IFERROR(__xludf.DUMMYFUNCTION("GOOGLETRANSLATE(A1431, ""de"", ""uk"")"),"їхати назад")</f>
        <v>їхати назад</v>
      </c>
    </row>
    <row r="1432" ht="15.75" customHeight="1">
      <c r="A1432" s="1" t="s">
        <v>1403</v>
      </c>
      <c r="B1432" s="2" t="str">
        <f>IFERROR(__xludf.DUMMYFUNCTION("GOOGLETRANSLATE(A1432, ""de"", ""uk"")"),"книга")</f>
        <v>книга</v>
      </c>
    </row>
    <row r="1433" ht="15.75" customHeight="1">
      <c r="A1433" s="1" t="s">
        <v>1404</v>
      </c>
      <c r="B1433" s="2" t="str">
        <f>IFERROR(__xludf.DUMMYFUNCTION("GOOGLETRANSLATE(A1433, ""de"", ""uk"")"),"побачимось знову")</f>
        <v>побачимось знову</v>
      </c>
    </row>
    <row r="1434" ht="15.75" customHeight="1">
      <c r="A1434" s="1" t="s">
        <v>1405</v>
      </c>
      <c r="B1434" s="2" t="str">
        <f>IFERROR(__xludf.DUMMYFUNCTION("GOOGLETRANSLATE(A1434, ""de"", ""uk"")"),"резерв")</f>
        <v>резерв</v>
      </c>
    </row>
    <row r="1435" ht="15.75" customHeight="1">
      <c r="A1435" s="1" t="s">
        <v>1406</v>
      </c>
      <c r="B1435" s="2" t="str">
        <f>IFERROR(__xludf.DUMMYFUNCTION("GOOGLETRANSLATE(A1435, ""de"", ""uk"")"),"застосувати")</f>
        <v>застосувати</v>
      </c>
    </row>
    <row r="1436" ht="15.75" customHeight="1">
      <c r="A1436" s="1" t="s">
        <v>1407</v>
      </c>
      <c r="B1436" s="2" t="str">
        <f>IFERROR(__xludf.DUMMYFUNCTION("GOOGLETRANSLATE(A1436, ""de"", ""uk"")"),"їхати разом")</f>
        <v>їхати разом</v>
      </c>
    </row>
    <row r="1437" ht="15.75" customHeight="1">
      <c r="A1437" s="1" t="s">
        <v>1408</v>
      </c>
      <c r="B1437" s="2" t="str">
        <f>IFERROR(__xludf.DUMMYFUNCTION("GOOGLETRANSLATE(A1437, ""de"", ""uk"")"),"місто")</f>
        <v>місто</v>
      </c>
    </row>
    <row r="1438" ht="15.75" customHeight="1">
      <c r="A1438" s="1" t="s">
        <v>1409</v>
      </c>
      <c r="B1438" s="2" t="str">
        <f>IFERROR(__xludf.DUMMYFUNCTION("GOOGLETRANSLATE(A1438, ""de"", ""uk"")"),"село")</f>
        <v>село</v>
      </c>
    </row>
    <row r="1439" ht="15.75" customHeight="1">
      <c r="A1439" s="1" t="s">
        <v>1410</v>
      </c>
      <c r="B1439" s="2" t="str">
        <f>IFERROR(__xludf.DUMMYFUNCTION("GOOGLETRANSLATE(A1439, ""de"", ""uk"")"),"церква")</f>
        <v>церква</v>
      </c>
    </row>
    <row r="1440" ht="15.75" customHeight="1">
      <c r="A1440" s="1" t="s">
        <v>1411</v>
      </c>
      <c r="B1440" s="2" t="str">
        <f>IFERROR(__xludf.DUMMYFUNCTION("GOOGLETRANSLATE(A1440, ""de"", ""uk"")"),"готель")</f>
        <v>готель</v>
      </c>
    </row>
    <row r="1441" ht="15.75" customHeight="1">
      <c r="A1441" s="1" t="s">
        <v>1412</v>
      </c>
      <c r="B1441" s="2" t="str">
        <f>IFERROR(__xludf.DUMMYFUNCTION("GOOGLETRANSLATE(A1441, ""de"", ""uk"")"),"автобусна зупинка")</f>
        <v>автобусна зупинка</v>
      </c>
    </row>
    <row r="1442" ht="15.75" customHeight="1">
      <c r="A1442" s="1" t="s">
        <v>1413</v>
      </c>
      <c r="B1442" s="2" t="str">
        <f>IFERROR(__xludf.DUMMYFUNCTION("GOOGLETRANSLATE(A1442, ""de"", ""uk"")"),"станція")</f>
        <v>станція</v>
      </c>
    </row>
    <row r="1443" ht="15.75" customHeight="1">
      <c r="A1443" s="1" t="s">
        <v>1414</v>
      </c>
      <c r="B1443" s="2" t="str">
        <f>IFERROR(__xludf.DUMMYFUNCTION("GOOGLETRANSLATE(A1443, ""de"", ""uk"")"),"платформа")</f>
        <v>платформа</v>
      </c>
    </row>
    <row r="1444" ht="15.75" customHeight="1">
      <c r="A1444" s="1" t="s">
        <v>1415</v>
      </c>
      <c r="B1444" s="2" t="str">
        <f>IFERROR(__xludf.DUMMYFUNCTION("GOOGLETRANSLATE(A1444, ""de"", ""uk"")"),"аеропорт")</f>
        <v>аеропорт</v>
      </c>
    </row>
    <row r="1445" ht="15.75" customHeight="1">
      <c r="A1445" s="1" t="s">
        <v>1416</v>
      </c>
      <c r="B1445" s="2" t="str">
        <f>IFERROR(__xludf.DUMMYFUNCTION("GOOGLETRANSLATE(A1445, ""de"", ""uk"")"),"порт")</f>
        <v>порт</v>
      </c>
    </row>
    <row r="1446" ht="15.75" customHeight="1">
      <c r="A1446" s="1" t="s">
        <v>1417</v>
      </c>
      <c r="B1446" s="2" t="str">
        <f>IFERROR(__xludf.DUMMYFUNCTION("GOOGLETRANSLATE(A1446, ""de"", ""uk"")"),"пляж")</f>
        <v>пляж</v>
      </c>
    </row>
    <row r="1447" ht="15.75" customHeight="1">
      <c r="A1447" s="1" t="s">
        <v>1418</v>
      </c>
      <c r="B1447" s="2" t="str">
        <f>IFERROR(__xludf.DUMMYFUNCTION("GOOGLETRANSLATE(A1447, ""de"", ""uk"")"),"центр міста")</f>
        <v>центр міста</v>
      </c>
    </row>
    <row r="1448" ht="15.75" customHeight="1">
      <c r="A1448" s="1" t="s">
        <v>1419</v>
      </c>
      <c r="B1448" s="2" t="str">
        <f>IFERROR(__xludf.DUMMYFUNCTION("GOOGLETRANSLATE(A1448, ""de"", ""uk"")"),"карта міста")</f>
        <v>карта міста</v>
      </c>
    </row>
    <row r="1449" ht="15.75" customHeight="1">
      <c r="A1449" s="1" t="s">
        <v>1420</v>
      </c>
      <c r="B1449" s="2" t="str">
        <f>IFERROR(__xludf.DUMMYFUNCTION("GOOGLETRANSLATE(A1449, ""de"", ""uk"")"),"район")</f>
        <v>район</v>
      </c>
    </row>
    <row r="1450" ht="15.75" customHeight="1">
      <c r="A1450" s="1" t="s">
        <v>1421</v>
      </c>
      <c r="B1450" s="2" t="str">
        <f>IFERROR(__xludf.DUMMYFUNCTION("GOOGLETRANSLATE(A1450, ""de"", ""uk"")"),"центр міста")</f>
        <v>центр міста</v>
      </c>
    </row>
    <row r="1451" ht="15.75" customHeight="1">
      <c r="A1451" s="1" t="s">
        <v>1422</v>
      </c>
      <c r="B1451" s="2" t="str">
        <f>IFERROR(__xludf.DUMMYFUNCTION("GOOGLETRANSLATE(A1451, ""de"", ""uk"")"),"станція")</f>
        <v>станція</v>
      </c>
    </row>
    <row r="1452" ht="15.75" customHeight="1">
      <c r="A1452" s="1" t="s">
        <v>1423</v>
      </c>
      <c r="B1452" s="2" t="str">
        <f>IFERROR(__xludf.DUMMYFUNCTION("GOOGLETRANSLATE(A1452, ""de"", ""uk"")"),"місце")</f>
        <v>місце</v>
      </c>
    </row>
    <row r="1453" ht="15.75" customHeight="1">
      <c r="A1453" s="1" t="s">
        <v>1424</v>
      </c>
      <c r="B1453" s="2" t="str">
        <f>IFERROR(__xludf.DUMMYFUNCTION("GOOGLETRANSLATE(A1453, ""de"", ""uk"")"),"ратуша")</f>
        <v>ратуша</v>
      </c>
    </row>
    <row r="1454" ht="15.75" customHeight="1">
      <c r="A1454" s="1" t="s">
        <v>1425</v>
      </c>
      <c r="B1454" s="2" t="str">
        <f>IFERROR(__xludf.DUMMYFUNCTION("GOOGLETRANSLATE(A1454, ""de"", ""uk"")"),"стоянка")</f>
        <v>стоянка</v>
      </c>
    </row>
    <row r="1455" ht="15.75" customHeight="1">
      <c r="A1455" s="1" t="s">
        <v>1426</v>
      </c>
      <c r="B1455" s="2" t="str">
        <f>IFERROR(__xludf.DUMMYFUNCTION("GOOGLETRANSLATE(A1455, ""de"", ""uk"")"),"центр")</f>
        <v>центр</v>
      </c>
    </row>
    <row r="1456" ht="15.75" customHeight="1">
      <c r="A1456" s="1" t="s">
        <v>1427</v>
      </c>
      <c r="B1456" s="2" t="str">
        <f>IFERROR(__xludf.DUMMYFUNCTION("GOOGLETRANSLATE(A1456, ""de"", ""uk"")"),"столиця")</f>
        <v>столиця</v>
      </c>
    </row>
    <row r="1457" ht="15.75" customHeight="1">
      <c r="A1457" s="1" t="s">
        <v>1428</v>
      </c>
      <c r="B1457" s="2" t="str">
        <f>IFERROR(__xludf.DUMMYFUNCTION("GOOGLETRANSLATE(A1457, ""de"", ""uk"")"),"велике місто")</f>
        <v>велике місто</v>
      </c>
    </row>
    <row r="1458" ht="15.75" customHeight="1">
      <c r="A1458" s="1" t="s">
        <v>1429</v>
      </c>
      <c r="B1458" s="2" t="str">
        <f>IFERROR(__xludf.DUMMYFUNCTION("GOOGLETRANSLATE(A1458, ""de"", ""uk"")"),"узбережжя")</f>
        <v>узбережжя</v>
      </c>
    </row>
    <row r="1459" ht="15.75" customHeight="1">
      <c r="A1459" s="1" t="s">
        <v>1430</v>
      </c>
      <c r="B1459" s="2" t="str">
        <f>IFERROR(__xludf.DUMMYFUNCTION("GOOGLETRANSLATE(A1459, ""de"", ""uk"")"),"одномісний номер")</f>
        <v>одномісний номер</v>
      </c>
    </row>
    <row r="1460" ht="15.75" customHeight="1">
      <c r="A1460" s="1" t="s">
        <v>1431</v>
      </c>
      <c r="B1460" s="2" t="str">
        <f>IFERROR(__xludf.DUMMYFUNCTION("GOOGLETRANSLATE(A1460, ""de"", ""uk"")"),"двомісний номер")</f>
        <v>двомісний номер</v>
      </c>
    </row>
    <row r="1461" ht="15.75" customHeight="1">
      <c r="A1461" s="1" t="s">
        <v>1432</v>
      </c>
      <c r="B1461" s="2" t="str">
        <f>IFERROR(__xludf.DUMMYFUNCTION("GOOGLETRANSLATE(A1461, ""de"", ""uk"")"),"простір")</f>
        <v>простір</v>
      </c>
    </row>
    <row r="1462" ht="15.75" customHeight="1">
      <c r="A1462" s="1" t="s">
        <v>1433</v>
      </c>
      <c r="B1462" s="2" t="str">
        <f>IFERROR(__xludf.DUMMYFUNCTION("GOOGLETRANSLATE(A1462, ""de"", ""uk"")"),"від'їзд")</f>
        <v>від'їзд</v>
      </c>
    </row>
    <row r="1463" ht="15.75" customHeight="1">
      <c r="A1463" s="1" t="s">
        <v>1434</v>
      </c>
      <c r="B1463" s="2" t="str">
        <f>IFERROR(__xludf.DUMMYFUNCTION("GOOGLETRANSLATE(A1463, ""de"", ""uk"")"),"прибуття")</f>
        <v>прибуття</v>
      </c>
    </row>
    <row r="1464" ht="15.75" customHeight="1">
      <c r="A1464" s="1" t="s">
        <v>1435</v>
      </c>
      <c r="B1464" s="2" t="str">
        <f>IFERROR(__xludf.DUMMYFUNCTION("GOOGLETRANSLATE(A1464, ""de"", ""uk"")"),"багаж")</f>
        <v>багаж</v>
      </c>
    </row>
    <row r="1465" ht="15.75" customHeight="1">
      <c r="A1465" s="1" t="s">
        <v>1436</v>
      </c>
      <c r="B1465" s="2" t="str">
        <f>IFERROR(__xludf.DUMMYFUNCTION("GOOGLETRANSLATE(A1465, ""de"", ""uk"")"),"валіза")</f>
        <v>валіза</v>
      </c>
    </row>
    <row r="1466" ht="15.75" customHeight="1">
      <c r="A1466" s="1" t="s">
        <v>1437</v>
      </c>
      <c r="B1466" s="2" t="str">
        <f>IFERROR(__xludf.DUMMYFUNCTION("GOOGLETRANSLATE(A1466, ""de"", ""uk"")"),"сумка")</f>
        <v>сумка</v>
      </c>
    </row>
    <row r="1467" ht="15.75" customHeight="1">
      <c r="A1467" s="1" t="s">
        <v>1438</v>
      </c>
      <c r="B1467" s="2" t="str">
        <f>IFERROR(__xludf.DUMMYFUNCTION("GOOGLETRANSLATE(A1467, ""de"", ""uk"")"),"митниці")</f>
        <v>митниці</v>
      </c>
    </row>
    <row r="1468" ht="15.75" customHeight="1">
      <c r="A1468" s="1" t="s">
        <v>1439</v>
      </c>
      <c r="B1468" s="2" t="str">
        <f>IFERROR(__xludf.DUMMYFUNCTION("GOOGLETRANSLATE(A1468, ""de"", ""uk"")"),"Небезпека")</f>
        <v>Небезпека</v>
      </c>
    </row>
    <row r="1469" ht="15.75" customHeight="1">
      <c r="A1469" s="1" t="s">
        <v>1440</v>
      </c>
      <c r="B1469" s="2" t="str">
        <f>IFERROR(__xludf.DUMMYFUNCTION("GOOGLETRANSLATE(A1469, ""de"", ""uk"")"),"Довідка")</f>
        <v>Довідка</v>
      </c>
    </row>
    <row r="1470" ht="15.75" customHeight="1">
      <c r="A1470" s="1" t="s">
        <v>1441</v>
      </c>
      <c r="B1470" s="2" t="str">
        <f>IFERROR(__xludf.DUMMYFUNCTION("GOOGLETRANSLATE(A1470, ""de"", ""uk"")"),"регіон")</f>
        <v>регіон</v>
      </c>
    </row>
    <row r="1471" ht="15.75" customHeight="1">
      <c r="A1471" s="1" t="s">
        <v>1442</v>
      </c>
      <c r="B1471" s="2" t="str">
        <f>IFERROR(__xludf.DUMMYFUNCTION("GOOGLETRANSLATE(A1471, ""de"", ""uk"")"),"нічліг")</f>
        <v>нічліг</v>
      </c>
    </row>
    <row r="1472" ht="15.75" customHeight="1">
      <c r="A1472" s="1" t="s">
        <v>1443</v>
      </c>
      <c r="B1472" s="2" t="str">
        <f>IFERROR(__xludf.DUMMYFUNCTION("GOOGLETRANSLATE(A1472, ""de"", ""uk"")"),"шлях")</f>
        <v>шлях</v>
      </c>
    </row>
    <row r="1473" ht="15.75" customHeight="1">
      <c r="A1473" s="1" t="s">
        <v>1444</v>
      </c>
      <c r="B1473" s="2" t="str">
        <f>IFERROR(__xludf.DUMMYFUNCTION("GOOGLETRANSLATE(A1473, ""de"", ""uk"")"),"пішохідна зона")</f>
        <v>пішохідна зона</v>
      </c>
    </row>
    <row r="1474" ht="15.75" customHeight="1">
      <c r="A1474" s="1" t="s">
        <v>1445</v>
      </c>
      <c r="B1474" s="2" t="str">
        <f>IFERROR(__xludf.DUMMYFUNCTION("GOOGLETRANSLATE(A1474, ""de"", ""uk"")"),"бронювання")</f>
        <v>бронювання</v>
      </c>
    </row>
    <row r="1475" ht="15.75" customHeight="1">
      <c r="A1475" s="1" t="s">
        <v>1446</v>
      </c>
      <c r="B1475" s="2" t="str">
        <f>IFERROR(__xludf.DUMMYFUNCTION("GOOGLETRANSLATE(A1475, ""de"", ""uk"")"),"екскурсія")</f>
        <v>екскурсія</v>
      </c>
    </row>
    <row r="1476" ht="15.75" customHeight="1">
      <c r="A1476" s="1" t="s">
        <v>1447</v>
      </c>
      <c r="B1476" s="2" t="str">
        <f>IFERROR(__xludf.DUMMYFUNCTION("GOOGLETRANSLATE(A1476, ""de"", ""uk"")"),"інформація")</f>
        <v>інформація</v>
      </c>
    </row>
    <row r="1477" ht="15.75" customHeight="1">
      <c r="A1477" s="1" t="s">
        <v>1448</v>
      </c>
      <c r="B1477" s="2" t="str">
        <f>IFERROR(__xludf.DUMMYFUNCTION("GOOGLETRANSLATE(A1477, ""de"", ""uk"")"),"примітка")</f>
        <v>примітка</v>
      </c>
    </row>
    <row r="1478" ht="15.75" customHeight="1">
      <c r="A1478" s="1" t="s">
        <v>1449</v>
      </c>
      <c r="B1478" s="2" t="str">
        <f>IFERROR(__xludf.DUMMYFUNCTION("GOOGLETRANSLATE(A1478, ""de"", ""uk"")"),"лінія")</f>
        <v>лінія</v>
      </c>
    </row>
    <row r="1479" ht="15.75" customHeight="1">
      <c r="A1479" s="1" t="s">
        <v>1450</v>
      </c>
      <c r="B1479" s="2" t="str">
        <f>IFERROR(__xludf.DUMMYFUNCTION("GOOGLETRANSLATE(A1479, ""de"", ""uk"")"),"близькість")</f>
        <v>близькість</v>
      </c>
    </row>
    <row r="1480" ht="15.75" customHeight="1">
      <c r="A1480" s="1" t="s">
        <v>1451</v>
      </c>
      <c r="B1480" s="2" t="str">
        <f>IFERROR(__xludf.DUMMYFUNCTION("GOOGLETRANSLATE(A1480, ""de"", ""uk"")"),"напрямок")</f>
        <v>напрямок</v>
      </c>
    </row>
    <row r="1481" ht="15.75" customHeight="1">
      <c r="A1481" s="1" t="s">
        <v>1452</v>
      </c>
      <c r="B1481" s="2" t="str">
        <f>IFERROR(__xludf.DUMMYFUNCTION("GOOGLETRANSLATE(A1481, ""de"", ""uk"")"),"контроль")</f>
        <v>контроль</v>
      </c>
    </row>
    <row r="1482" ht="15.75" customHeight="1">
      <c r="A1482" s="1" t="s">
        <v>1453</v>
      </c>
      <c r="B1482" s="2" t="str">
        <f>IFERROR(__xludf.DUMMYFUNCTION("GOOGLETRANSLATE(A1482, ""de"", ""uk"")"),"зона")</f>
        <v>зона</v>
      </c>
    </row>
    <row r="1483" ht="15.75" customHeight="1">
      <c r="A1483" s="1" t="s">
        <v>1454</v>
      </c>
      <c r="B1483" s="2" t="str">
        <f>IFERROR(__xludf.DUMMYFUNCTION("GOOGLETRANSLATE(A1483, ""de"", ""uk"")"),"оголошення")</f>
        <v>оголошення</v>
      </c>
    </row>
    <row r="1484" ht="15.75" customHeight="1">
      <c r="A1484" s="1" t="s">
        <v>1455</v>
      </c>
      <c r="B1484" s="2" t="str">
        <f>IFERROR(__xludf.DUMMYFUNCTION("GOOGLETRANSLATE(A1484, ""de"", ""uk"")"),"гонорар")</f>
        <v>гонорар</v>
      </c>
    </row>
    <row r="1485" ht="15.75" customHeight="1">
      <c r="A1485" s="1" t="s">
        <v>1456</v>
      </c>
      <c r="B1485" s="2" t="str">
        <f>IFERROR(__xludf.DUMMYFUNCTION("GOOGLETRANSLATE(A1485, ""de"", ""uk"")"),"прийом")</f>
        <v>прийом</v>
      </c>
    </row>
    <row r="1486" ht="15.75" customHeight="1">
      <c r="A1486" s="1" t="s">
        <v>1457</v>
      </c>
      <c r="B1486" s="2" t="str">
        <f>IFERROR(__xludf.DUMMYFUNCTION("GOOGLETRANSLATE(A1486, ""de"", ""uk"")"),"повернення")</f>
        <v>повернення</v>
      </c>
    </row>
    <row r="1487" ht="15.75" customHeight="1">
      <c r="A1487" s="1" t="s">
        <v>1458</v>
      </c>
      <c r="B1487" s="2" t="str">
        <f>IFERROR(__xludf.DUMMYFUNCTION("GOOGLETRANSLATE(A1487, ""de"", ""uk"")"),"рюкзак")</f>
        <v>рюкзак</v>
      </c>
    </row>
    <row r="1488" ht="15.75" customHeight="1">
      <c r="A1488" s="1" t="s">
        <v>1459</v>
      </c>
      <c r="B1488" s="2" t="str">
        <f>IFERROR(__xludf.DUMMYFUNCTION("GOOGLETRANSLATE(A1488, ""de"", ""uk"")"),"пісок")</f>
        <v>пісок</v>
      </c>
    </row>
    <row r="1489" ht="15.75" customHeight="1">
      <c r="A1489" s="1" t="s">
        <v>1460</v>
      </c>
      <c r="B1489" s="2" t="str">
        <f>IFERROR(__xludf.DUMMYFUNCTION("GOOGLETRANSLATE(A1489, ""de"", ""uk"")"),"туристичне агентство")</f>
        <v>туристичне агентство</v>
      </c>
    </row>
    <row r="1490" ht="15.75" customHeight="1">
      <c r="A1490" s="1" t="s">
        <v>1461</v>
      </c>
      <c r="B1490" s="2" t="str">
        <f>IFERROR(__xludf.DUMMYFUNCTION("GOOGLETRANSLATE(A1490, ""de"", ""uk"")"),"путівник")</f>
        <v>путівник</v>
      </c>
    </row>
    <row r="1491" ht="15.75" customHeight="1">
      <c r="A1491" s="1" t="s">
        <v>1462</v>
      </c>
      <c r="B1491" s="2" t="str">
        <f>IFERROR(__xludf.DUMMYFUNCTION("GOOGLETRANSLATE(A1491, ""de"", ""uk"")"),"турист")</f>
        <v>турист</v>
      </c>
    </row>
    <row r="1492" ht="15.75" customHeight="1">
      <c r="A1492" s="1" t="s">
        <v>1463</v>
      </c>
      <c r="B1492" s="2" t="str">
        <f>IFERROR(__xludf.DUMMYFUNCTION("GOOGLETRANSLATE(A1492, ""de"", ""uk"")"),"свята")</f>
        <v>свята</v>
      </c>
    </row>
    <row r="1493" ht="15.75" customHeight="1">
      <c r="A1493" s="1" t="s">
        <v>1464</v>
      </c>
      <c r="B1493" s="2" t="str">
        <f>IFERROR(__xludf.DUMMYFUNCTION("GOOGLETRANSLATE(A1493, ""de"", ""uk"")"),"скарга")</f>
        <v>скарга</v>
      </c>
    </row>
    <row r="1494" ht="15.75" customHeight="1">
      <c r="A1494" s="1" t="s">
        <v>1465</v>
      </c>
      <c r="B1494" s="2" t="str">
        <f>IFERROR(__xludf.DUMMYFUNCTION("GOOGLETRANSLATE(A1494, ""de"", ""uk"")"),"трафік")</f>
        <v>трафік</v>
      </c>
    </row>
    <row r="1495" ht="15.75" customHeight="1">
      <c r="A1495" s="1" t="s">
        <v>1466</v>
      </c>
      <c r="B1495" s="2" t="str">
        <f>IFERROR(__xludf.DUMMYFUNCTION("GOOGLETRANSLATE(A1495, ""de"", ""uk"")"),"щит")</f>
        <v>щит</v>
      </c>
    </row>
    <row r="1496" ht="15.75" customHeight="1">
      <c r="A1496" s="1" t="s">
        <v>1467</v>
      </c>
      <c r="B1496" s="2" t="str">
        <f>IFERROR(__xludf.DUMMYFUNCTION("GOOGLETRANSLATE(A1496, ""de"", ""uk"")"),"світлофор")</f>
        <v>світлофор</v>
      </c>
    </row>
    <row r="1497" ht="15.75" customHeight="1">
      <c r="A1497" s="1" t="s">
        <v>1468</v>
      </c>
      <c r="B1497" s="2" t="str">
        <f>IFERROR(__xludf.DUMMYFUNCTION("GOOGLETRANSLATE(A1497, ""de"", ""uk"")"),"переправа")</f>
        <v>переправа</v>
      </c>
    </row>
    <row r="1498" ht="15.75" customHeight="1">
      <c r="A1498" s="1" t="s">
        <v>54</v>
      </c>
      <c r="B1498" s="2" t="str">
        <f>IFERROR(__xludf.DUMMYFUNCTION("GOOGLETRANSLATE(A1498, ""de"", ""uk"")"),"вулиця")</f>
        <v>вулиця</v>
      </c>
    </row>
    <row r="1499" ht="15.75" customHeight="1">
      <c r="A1499" s="1" t="s">
        <v>1469</v>
      </c>
      <c r="B1499" s="2" t="str">
        <f>IFERROR(__xludf.DUMMYFUNCTION("GOOGLETRANSLATE(A1499, ""de"", ""uk"")"),"шосе")</f>
        <v>шосе</v>
      </c>
    </row>
    <row r="1500" ht="15.75" customHeight="1">
      <c r="A1500" s="1" t="s">
        <v>1470</v>
      </c>
      <c r="B1500" s="2" t="str">
        <f>IFERROR(__xludf.DUMMYFUNCTION("GOOGLETRANSLATE(A1500, ""de"", ""uk"")"),"міст")</f>
        <v>міст</v>
      </c>
    </row>
    <row r="1501" ht="15.75" customHeight="1">
      <c r="A1501" s="1" t="s">
        <v>1471</v>
      </c>
      <c r="B1501" s="2" t="str">
        <f>IFERROR(__xludf.DUMMYFUNCTION("GOOGLETRANSLATE(A1501, ""de"", ""uk"")"),"тунель")</f>
        <v>тунель</v>
      </c>
    </row>
    <row r="1502" ht="15.75" customHeight="1">
      <c r="A1502" s="1" t="s">
        <v>1472</v>
      </c>
      <c r="B1502" s="2" t="str">
        <f>IFERROR(__xludf.DUMMYFUNCTION("GOOGLETRANSLATE(A1502, ""de"", ""uk"")"),"АЗС")</f>
        <v>АЗС</v>
      </c>
    </row>
    <row r="1503" ht="15.75" customHeight="1">
      <c r="A1503" s="1" t="s">
        <v>1473</v>
      </c>
      <c r="B1503" s="2" t="str">
        <f>IFERROR(__xludf.DUMMYFUNCTION("GOOGLETRANSLATE(A1503, ""de"", ""uk"")"),"аварія")</f>
        <v>аварія</v>
      </c>
    </row>
    <row r="1504" ht="15.75" customHeight="1">
      <c r="A1504" s="1" t="s">
        <v>1474</v>
      </c>
      <c r="B1504" s="2" t="str">
        <f>IFERROR(__xludf.DUMMYFUNCTION("GOOGLETRANSLATE(A1504, ""de"", ""uk"")"),"посвідчення водія")</f>
        <v>посвідчення водія</v>
      </c>
    </row>
    <row r="1505" ht="15.75" customHeight="1">
      <c r="A1505" s="1" t="s">
        <v>1475</v>
      </c>
      <c r="B1505" s="2" t="str">
        <f>IFERROR(__xludf.DUMMYFUNCTION("GOOGLETRANSLATE(A1505, ""de"", ""uk"")"),"їзда")</f>
        <v>їзда</v>
      </c>
    </row>
    <row r="1506" ht="15.75" customHeight="1">
      <c r="A1506" s="1" t="s">
        <v>1476</v>
      </c>
      <c r="B1506" s="2" t="str">
        <f>IFERROR(__xludf.DUMMYFUNCTION("GOOGLETRANSLATE(A1506, ""de"", ""uk"")"),"автомобіль")</f>
        <v>автомобіль</v>
      </c>
    </row>
    <row r="1507" ht="15.75" customHeight="1">
      <c r="A1507" s="1" t="s">
        <v>1477</v>
      </c>
      <c r="B1507" s="2" t="str">
        <f>IFERROR(__xludf.DUMMYFUNCTION("GOOGLETRANSLATE(A1507, ""de"", ""uk"")"),"велосипедист")</f>
        <v>велосипедист</v>
      </c>
    </row>
    <row r="1508" ht="15.75" customHeight="1">
      <c r="A1508" s="1" t="s">
        <v>1478</v>
      </c>
      <c r="B1508" s="2" t="str">
        <f>IFERROR(__xludf.DUMMYFUNCTION("GOOGLETRANSLATE(A1508, ""de"", ""uk"")"),"велосипед")</f>
        <v>велосипед</v>
      </c>
    </row>
    <row r="1509" ht="15.75" customHeight="1">
      <c r="A1509" s="1" t="s">
        <v>1479</v>
      </c>
      <c r="B1509" s="2" t="str">
        <f>IFERROR(__xludf.DUMMYFUNCTION("GOOGLETRANSLATE(A1509, ""de"", ""uk"")"),"вантажівка")</f>
        <v>вантажівка</v>
      </c>
    </row>
    <row r="1510" ht="15.75" customHeight="1">
      <c r="A1510" s="1" t="s">
        <v>1480</v>
      </c>
      <c r="B1510" s="2" t="str">
        <f>IFERROR(__xludf.DUMMYFUNCTION("GOOGLETRANSLATE(A1510, ""de"", ""uk"")"),"таксі")</f>
        <v>таксі</v>
      </c>
    </row>
    <row r="1511" ht="15.75" customHeight="1">
      <c r="A1511" s="1" t="s">
        <v>1481</v>
      </c>
      <c r="B1511" s="2" t="str">
        <f>IFERROR(__xludf.DUMMYFUNCTION("GOOGLETRANSLATE(A1511, ""de"", ""uk"")"),"автобус")</f>
        <v>автобус</v>
      </c>
    </row>
    <row r="1512" ht="15.75" customHeight="1">
      <c r="A1512" s="1" t="s">
        <v>1482</v>
      </c>
      <c r="B1512" s="2" t="str">
        <f>IFERROR(__xludf.DUMMYFUNCTION("GOOGLETRANSLATE(A1512, ""de"", ""uk"")"),"S-Bahn")</f>
        <v>S-Bahn</v>
      </c>
    </row>
    <row r="1513" ht="15.75" customHeight="1">
      <c r="A1513" s="1" t="s">
        <v>1483</v>
      </c>
      <c r="B1513" s="2" t="str">
        <f>IFERROR(__xludf.DUMMYFUNCTION("GOOGLETRANSLATE(A1513, ""de"", ""uk"")"),"метро")</f>
        <v>метро</v>
      </c>
    </row>
    <row r="1514" ht="15.75" customHeight="1">
      <c r="A1514" s="1" t="s">
        <v>1484</v>
      </c>
      <c r="B1514" s="2" t="str">
        <f>IFERROR(__xludf.DUMMYFUNCTION("GOOGLETRANSLATE(A1514, ""de"", ""uk"")"),"трамвай")</f>
        <v>трамвай</v>
      </c>
    </row>
    <row r="1515" ht="15.75" customHeight="1">
      <c r="A1515" s="1" t="s">
        <v>1485</v>
      </c>
      <c r="B1515" s="2" t="str">
        <f>IFERROR(__xludf.DUMMYFUNCTION("GOOGLETRANSLATE(A1515, ""de"", ""uk"")"),"поїзд")</f>
        <v>поїзд</v>
      </c>
    </row>
    <row r="1516" ht="15.75" customHeight="1">
      <c r="A1516" s="1" t="s">
        <v>1486</v>
      </c>
      <c r="B1516" s="2" t="str">
        <f>IFERROR(__xludf.DUMMYFUNCTION("GOOGLETRANSLATE(A1516, ""de"", ""uk"")"),"Літак")</f>
        <v>Літак</v>
      </c>
    </row>
    <row r="1517" ht="15.75" customHeight="1">
      <c r="A1517" s="1" t="s">
        <v>1487</v>
      </c>
      <c r="B1517" s="2" t="str">
        <f>IFERROR(__xludf.DUMMYFUNCTION("GOOGLETRANSLATE(A1517, ""de"", ""uk"")"),"корабель")</f>
        <v>корабель</v>
      </c>
    </row>
    <row r="1518" ht="15.75" customHeight="1">
      <c r="A1518" s="1" t="s">
        <v>1488</v>
      </c>
      <c r="B1518" s="2" t="str">
        <f>IFERROR(__xludf.DUMMYFUNCTION("GOOGLETRANSLATE(A1518, ""de"", ""uk"")"),"транспортний засіб")</f>
        <v>транспортний засіб</v>
      </c>
    </row>
    <row r="1519" ht="15.75" customHeight="1">
      <c r="A1519" s="1" t="s">
        <v>1489</v>
      </c>
      <c r="B1519" s="2" t="str">
        <f>IFERROR(__xludf.DUMMYFUNCTION("GOOGLETRANSLATE(A1519, ""de"", ""uk"")"),"зліва")</f>
        <v>зліва</v>
      </c>
    </row>
    <row r="1520" ht="15.75" customHeight="1">
      <c r="A1520" s="1" t="s">
        <v>1490</v>
      </c>
      <c r="B1520" s="2" t="str">
        <f>IFERROR(__xludf.DUMMYFUNCTION("GOOGLETRANSLATE(A1520, ""de"", ""uk"")"),"правильно")</f>
        <v>правильно</v>
      </c>
    </row>
    <row r="1521" ht="15.75" customHeight="1">
      <c r="A1521" s="1" t="s">
        <v>1491</v>
      </c>
      <c r="B1521" s="2" t="str">
        <f>IFERROR(__xludf.DUMMYFUNCTION("GOOGLETRANSLATE(A1521, ""de"", ""uk"")"),"прямо вперед")</f>
        <v>прямо вперед</v>
      </c>
    </row>
    <row r="1522" ht="15.75" customHeight="1">
      <c r="A1522" s="1" t="s">
        <v>1492</v>
      </c>
      <c r="B1522" s="2" t="str">
        <f>IFERROR(__xludf.DUMMYFUNCTION("GOOGLETRANSLATE(A1522, ""de"", ""uk"")"),"раніше")</f>
        <v>раніше</v>
      </c>
    </row>
    <row r="1523" ht="15.75" customHeight="1">
      <c r="A1523" s="1" t="s">
        <v>1493</v>
      </c>
      <c r="B1523" s="2" t="str">
        <f>IFERROR(__xludf.DUMMYFUNCTION("GOOGLETRANSLATE(A1523, ""de"", ""uk"")"),"назад")</f>
        <v>назад</v>
      </c>
    </row>
    <row r="1524" ht="15.75" customHeight="1">
      <c r="A1524" s="1" t="s">
        <v>1494</v>
      </c>
      <c r="B1524" s="2" t="str">
        <f>IFERROR(__xludf.DUMMYFUNCTION("GOOGLETRANSLATE(A1524, ""de"", ""uk"")"),"тут")</f>
        <v>тут</v>
      </c>
    </row>
    <row r="1525" ht="15.75" customHeight="1">
      <c r="A1525" s="1" t="s">
        <v>1495</v>
      </c>
      <c r="B1525" s="2" t="str">
        <f>IFERROR(__xludf.DUMMYFUNCTION("GOOGLETRANSLATE(A1525, ""de"", ""uk"")"),"через")</f>
        <v>через</v>
      </c>
    </row>
    <row r="1526" ht="15.75" customHeight="1">
      <c r="A1526" s="1" t="s">
        <v>1496</v>
      </c>
      <c r="B1526" s="2" t="str">
        <f>IFERROR(__xludf.DUMMYFUNCTION("GOOGLETRANSLATE(A1526, ""de"", ""uk"")"),"йти")</f>
        <v>йти</v>
      </c>
    </row>
    <row r="1527" ht="15.75" customHeight="1">
      <c r="A1527" s="1" t="s">
        <v>1497</v>
      </c>
      <c r="B1527" s="2" t="str">
        <f>IFERROR(__xludf.DUMMYFUNCTION("GOOGLETRANSLATE(A1527, ""de"", ""uk"")"),"геть")</f>
        <v>геть</v>
      </c>
    </row>
    <row r="1528" ht="15.75" customHeight="1">
      <c r="A1528" s="1" t="s">
        <v>1498</v>
      </c>
      <c r="B1528" s="2" t="str">
        <f>IFERROR(__xludf.DUMMYFUNCTION("GOOGLETRANSLATE(A1528, ""de"", ""uk"")"),"там назад")</f>
        <v>там назад</v>
      </c>
    </row>
    <row r="1529" ht="15.75" customHeight="1">
      <c r="A1529" s="1" t="s">
        <v>1499</v>
      </c>
      <c r="B1529" s="2" t="str">
        <f>IFERROR(__xludf.DUMMYFUNCTION("GOOGLETRANSLATE(A1529, ""de"", ""uk"")"),"перед ним")</f>
        <v>перед ним</v>
      </c>
    </row>
    <row r="1530" ht="15.75" customHeight="1">
      <c r="A1530" s="1" t="s">
        <v>1500</v>
      </c>
      <c r="B1530" s="2" t="str">
        <f>IFERROR(__xludf.DUMMYFUNCTION("GOOGLETRANSLATE(A1530, ""de"", ""uk"")"),"так")</f>
        <v>так</v>
      </c>
    </row>
    <row r="1531" ht="15.75" customHeight="1">
      <c r="A1531" s="1" t="s">
        <v>1501</v>
      </c>
      <c r="B1531" s="2" t="str">
        <f>IFERROR(__xludf.DUMMYFUNCTION("GOOGLETRANSLATE(A1531, ""de"", ""uk"")"),"через")</f>
        <v>через</v>
      </c>
    </row>
    <row r="1532" ht="15.75" customHeight="1">
      <c r="A1532" s="1" t="s">
        <v>1502</v>
      </c>
      <c r="B1532" s="2" t="str">
        <f>IFERROR(__xludf.DUMMYFUNCTION("GOOGLETRANSLATE(A1532, ""de"", ""uk"")"),"між")</f>
        <v>між</v>
      </c>
    </row>
    <row r="1533" ht="15.75" customHeight="1">
      <c r="A1533" s="1" t="s">
        <v>1503</v>
      </c>
      <c r="B1533" s="2" t="str">
        <f>IFERROR(__xludf.DUMMYFUNCTION("GOOGLETRANSLATE(A1533, ""de"", ""uk"")"),"там")</f>
        <v>там</v>
      </c>
    </row>
    <row r="1534" ht="15.75" customHeight="1">
      <c r="A1534" s="1" t="s">
        <v>1504</v>
      </c>
      <c r="B1534" s="2" t="str">
        <f>IFERROR(__xludf.DUMMYFUNCTION("GOOGLETRANSLATE(A1534, ""de"", ""uk"")"),"себе")</f>
        <v>себе</v>
      </c>
    </row>
    <row r="1535" ht="15.75" customHeight="1">
      <c r="A1535" s="1" t="s">
        <v>1505</v>
      </c>
      <c r="B1535" s="2" t="str">
        <f>IFERROR(__xludf.DUMMYFUNCTION("GOOGLETRANSLATE(A1535, ""de"", ""uk"")"),"далі")</f>
        <v>далі</v>
      </c>
    </row>
    <row r="1536" ht="15.75" customHeight="1">
      <c r="A1536" s="1" t="s">
        <v>1493</v>
      </c>
      <c r="B1536" s="2" t="str">
        <f>IFERROR(__xludf.DUMMYFUNCTION("GOOGLETRANSLATE(A1536, ""de"", ""uk"")"),"назад")</f>
        <v>назад</v>
      </c>
    </row>
    <row r="1537" ht="15.75" customHeight="1">
      <c r="A1537" s="1" t="s">
        <v>1506</v>
      </c>
      <c r="B1537" s="2" t="str">
        <f>IFERROR(__xludf.DUMMYFUNCTION("GOOGLETRANSLATE(A1537, ""de"", ""uk"")"),"там")</f>
        <v>там</v>
      </c>
    </row>
    <row r="1538" ht="15.75" customHeight="1">
      <c r="A1538" s="1" t="s">
        <v>1507</v>
      </c>
      <c r="B1538" s="2" t="str">
        <f>IFERROR(__xludf.DUMMYFUNCTION("GOOGLETRANSLATE(A1538, ""de"", ""uk"")"),"в даний час")</f>
        <v>в даний час</v>
      </c>
    </row>
    <row r="1539" ht="15.75" customHeight="1">
      <c r="A1539" s="1" t="s">
        <v>1508</v>
      </c>
      <c r="B1539" s="2" t="str">
        <f>IFERROR(__xludf.DUMMYFUNCTION("GOOGLETRANSLATE(A1539, ""de"", ""uk"")"),"розклад")</f>
        <v>розклад</v>
      </c>
    </row>
    <row r="1540" ht="15.75" customHeight="1">
      <c r="A1540" s="1" t="s">
        <v>1509</v>
      </c>
      <c r="B1540" s="2" t="str">
        <f>IFERROR(__xludf.DUMMYFUNCTION("GOOGLETRANSLATE(A1540, ""de"", ""uk"")"),"квиток")</f>
        <v>квиток</v>
      </c>
    </row>
    <row r="1541" ht="15.75" customHeight="1">
      <c r="A1541" s="1" t="s">
        <v>1510</v>
      </c>
      <c r="B1541" s="2" t="str">
        <f>IFERROR(__xludf.DUMMYFUNCTION("GOOGLETRANSLATE(A1541, ""de"", ""uk"")"),"машина")</f>
        <v>машина</v>
      </c>
    </row>
    <row r="1542" ht="15.75" customHeight="1">
      <c r="A1542" s="1" t="s">
        <v>1434</v>
      </c>
      <c r="B1542" s="2" t="str">
        <f>IFERROR(__xludf.DUMMYFUNCTION("GOOGLETRANSLATE(A1542, ""de"", ""uk"")"),"прибуття")</f>
        <v>прибуття</v>
      </c>
    </row>
    <row r="1543" ht="15.75" customHeight="1">
      <c r="A1543" s="1" t="s">
        <v>1511</v>
      </c>
      <c r="B1543" s="2" t="str">
        <f>IFERROR(__xludf.DUMMYFUNCTION("GOOGLETRANSLATE(A1543, ""de"", ""uk"")"),"трек")</f>
        <v>трек</v>
      </c>
    </row>
    <row r="1544" ht="15.75" customHeight="1">
      <c r="A1544" s="1" t="s">
        <v>1512</v>
      </c>
      <c r="B1544" s="2" t="str">
        <f>IFERROR(__xludf.DUMMYFUNCTION("GOOGLETRANSLATE(A1544, ""de"", ""uk"")"),"прощання")</f>
        <v>прощання</v>
      </c>
    </row>
    <row r="1545" ht="15.75" customHeight="1">
      <c r="A1545" s="1" t="s">
        <v>1513</v>
      </c>
      <c r="B1545" s="2" t="str">
        <f>IFERROR(__xludf.DUMMYFUNCTION("GOOGLETRANSLATE(A1545, ""de"", ""uk"")"),"поїздка")</f>
        <v>поїздка</v>
      </c>
    </row>
    <row r="1546" ht="15.75" customHeight="1">
      <c r="A1546" s="1" t="s">
        <v>1514</v>
      </c>
      <c r="B1546" s="2" t="str">
        <f>IFERROR(__xludf.DUMMYFUNCTION("GOOGLETRANSLATE(A1546, ""de"", ""uk"")"),"квиток")</f>
        <v>квиток</v>
      </c>
    </row>
    <row r="1547" ht="15.75" customHeight="1">
      <c r="A1547" s="1" t="s">
        <v>1515</v>
      </c>
      <c r="B1547" s="2" t="str">
        <f>IFERROR(__xludf.DUMMYFUNCTION("GOOGLETRANSLATE(A1547, ""de"", ""uk"")"),"маршрут")</f>
        <v>маршрут</v>
      </c>
    </row>
    <row r="1548" ht="15.75" customHeight="1">
      <c r="A1548" s="1" t="s">
        <v>1516</v>
      </c>
      <c r="B1548" s="2" t="str">
        <f>IFERROR(__xludf.DUMMYFUNCTION("GOOGLETRANSLATE(A1548, ""de"", ""uk"")"),"інформація")</f>
        <v>інформація</v>
      </c>
    </row>
    <row r="1549" ht="15.75" customHeight="1">
      <c r="A1549" s="1" t="s">
        <v>1517</v>
      </c>
      <c r="B1549" s="2" t="str">
        <f>IFERROR(__xludf.DUMMYFUNCTION("GOOGLETRANSLATE(A1549, ""de"", ""uk"")"),"оголошення")</f>
        <v>оголошення</v>
      </c>
    </row>
    <row r="1550" ht="15.75" customHeight="1">
      <c r="A1550" s="1" t="s">
        <v>1518</v>
      </c>
      <c r="B1550" s="2" t="str">
        <f>IFERROR(__xludf.DUMMYFUNCTION("GOOGLETRANSLATE(A1550, ""de"", ""uk"")"),"з'єднання")</f>
        <v>з'єднання</v>
      </c>
    </row>
    <row r="1551" ht="15.75" customHeight="1">
      <c r="A1551" s="1" t="s">
        <v>1519</v>
      </c>
      <c r="B1551" s="2" t="str">
        <f>IFERROR(__xludf.DUMMYFUNCTION("GOOGLETRANSLATE(A1551, ""de"", ""uk"")"),"заборонено")</f>
        <v>заборонено</v>
      </c>
    </row>
    <row r="1552" ht="15.75" customHeight="1">
      <c r="A1552" s="1" t="s">
        <v>1520</v>
      </c>
      <c r="B1552" s="2" t="str">
        <f>IFERROR(__xludf.DUMMYFUNCTION("GOOGLETRANSLATE(A1552, ""de"", ""uk"")"),"дозволено")</f>
        <v>дозволено</v>
      </c>
    </row>
    <row r="1553" ht="15.75" customHeight="1">
      <c r="A1553" s="1" t="s">
        <v>270</v>
      </c>
      <c r="B1553" s="2" t="str">
        <f>IFERROR(__xludf.DUMMYFUNCTION("GOOGLETRANSLATE(A1553, ""de"", ""uk"")"),"цілком")</f>
        <v>цілком</v>
      </c>
    </row>
    <row r="1554" ht="15.75" customHeight="1">
      <c r="A1554" s="1" t="s">
        <v>1521</v>
      </c>
      <c r="B1554" s="2" t="str">
        <f>IFERROR(__xludf.DUMMYFUNCTION("GOOGLETRANSLATE(A1554, ""de"", ""uk"")"),"зламаний")</f>
        <v>зламаний</v>
      </c>
    </row>
    <row r="1555" ht="15.75" customHeight="1">
      <c r="A1555" s="1" t="s">
        <v>1522</v>
      </c>
      <c r="B1555" s="2" t="str">
        <f>IFERROR(__xludf.DUMMYFUNCTION("GOOGLETRANSLATE(A1555, ""de"", ""uk"")"),"швидко")</f>
        <v>швидко</v>
      </c>
    </row>
    <row r="1556" ht="15.75" customHeight="1">
      <c r="A1556" s="1" t="s">
        <v>1523</v>
      </c>
      <c r="B1556" s="2" t="str">
        <f>IFERROR(__xludf.DUMMYFUNCTION("GOOGLETRANSLATE(A1556, ""de"", ""uk"")"),"повільний")</f>
        <v>повільний</v>
      </c>
    </row>
    <row r="1557" ht="15.75" customHeight="1">
      <c r="A1557" s="1" t="s">
        <v>1524</v>
      </c>
      <c r="B1557" s="2" t="str">
        <f>IFERROR(__xludf.DUMMYFUNCTION("GOOGLETRANSLATE(A1557, ""de"", ""uk"")"),"довго")</f>
        <v>довго</v>
      </c>
    </row>
    <row r="1558" ht="15.75" customHeight="1">
      <c r="A1558" s="1" t="s">
        <v>1525</v>
      </c>
      <c r="B1558" s="2" t="str">
        <f>IFERROR(__xludf.DUMMYFUNCTION("GOOGLETRANSLATE(A1558, ""de"", ""uk"")"),"прямий")</f>
        <v>прямий</v>
      </c>
    </row>
    <row r="1559" ht="15.75" customHeight="1">
      <c r="A1559" s="1" t="s">
        <v>1526</v>
      </c>
      <c r="B1559" s="2" t="str">
        <f>IFERROR(__xludf.DUMMYFUNCTION("GOOGLETRANSLATE(A1559, ""de"", ""uk"")"),"центральний")</f>
        <v>центральний</v>
      </c>
    </row>
    <row r="1560" ht="15.75" customHeight="1">
      <c r="A1560" s="1" t="s">
        <v>1527</v>
      </c>
      <c r="B1560" s="2" t="str">
        <f>IFERROR(__xludf.DUMMYFUNCTION("GOOGLETRANSLATE(A1560, ""de"", ""uk"")"),"самозайнятий")</f>
        <v>самозайнятий</v>
      </c>
    </row>
    <row r="1561" ht="15.75" customHeight="1">
      <c r="A1561" s="1" t="s">
        <v>1528</v>
      </c>
      <c r="B1561" s="2" t="str">
        <f>IFERROR(__xludf.DUMMYFUNCTION("GOOGLETRANSLATE(A1561, ""de"", ""uk"")"),"безпечний")</f>
        <v>безпечний</v>
      </c>
    </row>
    <row r="1562" ht="15.75" customHeight="1">
      <c r="A1562" s="1" t="s">
        <v>1529</v>
      </c>
      <c r="B1562" s="2" t="str">
        <f>IFERROR(__xludf.DUMMYFUNCTION("GOOGLETRANSLATE(A1562, ""de"", ""uk"")"),"далеко")</f>
        <v>далеко</v>
      </c>
    </row>
    <row r="1563" ht="15.75" customHeight="1">
      <c r="A1563" s="1" t="s">
        <v>1530</v>
      </c>
      <c r="B1563" s="2" t="str">
        <f>IFERROR(__xludf.DUMMYFUNCTION("GOOGLETRANSLATE(A1563, ""de"", ""uk"")"),"в тому числі")</f>
        <v>в тому числі</v>
      </c>
    </row>
    <row r="1564" ht="15.75" customHeight="1">
      <c r="A1564" s="1" t="s">
        <v>1531</v>
      </c>
      <c r="B1564" s="2" t="str">
        <f>IFERROR(__xludf.DUMMYFUNCTION("GOOGLETRANSLATE(A1564, ""de"", ""uk"")"),"Це заборонено.")</f>
        <v>Це заборонено.</v>
      </c>
    </row>
    <row r="1565" ht="15.75" customHeight="1">
      <c r="A1565" s="1" t="s">
        <v>1532</v>
      </c>
      <c r="B1565" s="2" t="str">
        <f>IFERROR(__xludf.DUMMYFUNCTION("GOOGLETRANSLATE(A1565, ""de"", ""uk"")"),"Паркуватися тут заборонено.")</f>
        <v>Паркуватися тут заборонено.</v>
      </c>
    </row>
    <row r="1566" ht="15.75" customHeight="1">
      <c r="A1566" s="1" t="s">
        <v>1533</v>
      </c>
      <c r="B1566" s="2" t="str">
        <f>IFERROR(__xludf.DUMMYFUNCTION("GOOGLETRANSLATE(A1566, ""de"", ""uk"")"),"Я всю дорогу їхав поїздом.")</f>
        <v>Я всю дорогу їхав поїздом.</v>
      </c>
    </row>
    <row r="1567" ht="15.75" customHeight="1">
      <c r="A1567" s="1" t="s">
        <v>1534</v>
      </c>
      <c r="B1567" s="2" t="str">
        <f>IFERROR(__xludf.DUMMYFUNCTION("GOOGLETRANSLATE(A1567, ""de"", ""uk"")"),"Машина вже була розбита до аварії.")</f>
        <v>Машина вже була розбита до аварії.</v>
      </c>
    </row>
    <row r="1568" ht="15.75" customHeight="1">
      <c r="A1568" s="1" t="s">
        <v>1535</v>
      </c>
      <c r="B1568" s="2" t="str">
        <f>IFERROR(__xludf.DUMMYFUNCTION("GOOGLETRANSLATE(A1568, ""de"", ""uk"")"),"На машині ви швидше, ніж на велосипеді.")</f>
        <v>На машині ви швидше, ніж на велосипеді.</v>
      </c>
    </row>
    <row r="1569" ht="15.75" customHeight="1">
      <c r="A1569" s="1" t="s">
        <v>1536</v>
      </c>
      <c r="B1569" s="2" t="str">
        <f>IFERROR(__xludf.DUMMYFUNCTION("GOOGLETRANSLATE(A1569, ""de"", ""uk"")"),"Щоб їздити на велосипеді, потрібно занадто багато часу.")</f>
        <v>Щоб їздити на велосипеді, потрібно занадто багато часу.</v>
      </c>
    </row>
    <row r="1570" ht="15.75" customHeight="1">
      <c r="A1570" s="1" t="s">
        <v>1537</v>
      </c>
      <c r="B1570" s="2" t="str">
        <f>IFERROR(__xludf.DUMMYFUNCTION("GOOGLETRANSLATE(A1570, ""de"", ""uk"")"),"Попереду у нас довга подорож.")</f>
        <v>Попереду у нас довга подорож.</v>
      </c>
    </row>
    <row r="1571" ht="15.75" customHeight="1">
      <c r="A1571" s="1" t="s">
        <v>1538</v>
      </c>
      <c r="B1571" s="2" t="str">
        <f>IFERROR(__xludf.DUMMYFUNCTION("GOOGLETRANSLATE(A1571, ""de"", ""uk"")"),"Я хотів би пряме підключення, будь ласка.")</f>
        <v>Я хотів би пряме підключення, будь ласка.</v>
      </c>
    </row>
    <row r="1572" ht="15.75" customHeight="1">
      <c r="A1572" s="1" t="s">
        <v>1539</v>
      </c>
      <c r="B1572" s="2" t="str">
        <f>IFERROR(__xludf.DUMMYFUNCTION("GOOGLETRANSLATE(A1572, ""de"", ""uk"")"),"Ми живемо в центрі міста.")</f>
        <v>Ми живемо в центрі міста.</v>
      </c>
    </row>
    <row r="1573" ht="15.75" customHeight="1">
      <c r="A1573" s="1" t="s">
        <v>1540</v>
      </c>
      <c r="B1573" s="2" t="str">
        <f>IFERROR(__xludf.DUMMYFUNCTION("GOOGLETRANSLATE(A1573, ""de"", ""uk"")"),"Я повернуся сам.")</f>
        <v>Я повернуся сам.</v>
      </c>
    </row>
    <row r="1574" ht="15.75" customHeight="1">
      <c r="A1574" s="1" t="s">
        <v>1541</v>
      </c>
      <c r="B1574" s="2" t="str">
        <f>IFERROR(__xludf.DUMMYFUNCTION("GOOGLETRANSLATE(A1574, ""de"", ""uk"")"),"Деякі види транспорту недостатньо безпечні.")</f>
        <v>Деякі види транспорту недостатньо безпечні.</v>
      </c>
    </row>
    <row r="1575" ht="15.75" customHeight="1">
      <c r="A1575" s="1" t="s">
        <v>1542</v>
      </c>
      <c r="B1575" s="2" t="str">
        <f>IFERROR(__xludf.DUMMYFUNCTION("GOOGLETRANSLATE(A1575, ""de"", ""uk"")"),"Як далеко до залізничного вокзалу?")</f>
        <v>Як далеко до залізничного вокзалу?</v>
      </c>
    </row>
    <row r="1576" ht="15.75" customHeight="1">
      <c r="A1576" s="1" t="s">
        <v>1543</v>
      </c>
      <c r="B1576" s="2" t="str">
        <f>IFERROR(__xludf.DUMMYFUNCTION("GOOGLETRANSLATE(A1576, ""de"", ""uk"")"),"Чи все включено в цю ціну?")</f>
        <v>Чи все включено в цю ціну?</v>
      </c>
    </row>
    <row r="1577" ht="15.75" customHeight="1">
      <c r="A1577" s="1" t="s">
        <v>1544</v>
      </c>
      <c r="B1577" s="2" t="str">
        <f>IFERROR(__xludf.DUMMYFUNCTION("GOOGLETRANSLATE(A1577, ""de"", ""uk"")"),"Він не має з собою розкладу.")</f>
        <v>Він не має з собою розкладу.</v>
      </c>
    </row>
    <row r="1578" ht="15.75" customHeight="1">
      <c r="A1578" s="1" t="s">
        <v>1545</v>
      </c>
      <c r="B1578" s="2" t="str">
        <f>IFERROR(__xludf.DUMMYFUNCTION("GOOGLETRANSLATE(A1578, ""de"", ""uk"")"),"Будь ласка, квитки.")</f>
        <v>Будь ласка, квитки.</v>
      </c>
    </row>
    <row r="1579" ht="15.75" customHeight="1">
      <c r="A1579" s="1" t="s">
        <v>1546</v>
      </c>
      <c r="B1579" s="2" t="str">
        <f>IFERROR(__xludf.DUMMYFUNCTION("GOOGLETRANSLATE(A1579, ""de"", ""uk"")"),"Оплатити квиток можна в автоматі.")</f>
        <v>Оплатити квиток можна в автоматі.</v>
      </c>
    </row>
    <row r="1580" ht="15.75" customHeight="1">
      <c r="A1580" s="1" t="s">
        <v>1547</v>
      </c>
      <c r="B1580" s="2" t="str">
        <f>IFERROR(__xludf.DUMMYFUNCTION("GOOGLETRANSLATE(A1580, ""de"", ""uk"")"),"Коли ми прибудемо?")</f>
        <v>Коли ми прибудемо?</v>
      </c>
    </row>
    <row r="1581" ht="15.75" customHeight="1">
      <c r="A1581" s="1" t="s">
        <v>1548</v>
      </c>
      <c r="B1581" s="2" t="str">
        <f>IFERROR(__xludf.DUMMYFUNCTION("GOOGLETRANSLATE(A1581, ""de"", ""uk"")"),"Якою колією прибуває поїзд?")</f>
        <v>Якою колією прибуває поїзд?</v>
      </c>
    </row>
    <row r="1582" ht="15.75" customHeight="1">
      <c r="A1582" s="1" t="s">
        <v>1549</v>
      </c>
      <c r="B1582" s="2" t="str">
        <f>IFERROR(__xludf.DUMMYFUNCTION("GOOGLETRANSLATE(A1582, ""de"", ""uk"")"),"Виїзд о восьмій ранку.")</f>
        <v>Виїзд о восьмій ранку.</v>
      </c>
    </row>
    <row r="1583" ht="15.75" customHeight="1">
      <c r="A1583" s="1" t="s">
        <v>1550</v>
      </c>
      <c r="B1583" s="2" t="str">
        <f>IFERROR(__xludf.DUMMYFUNCTION("GOOGLETRANSLATE(A1583, ""de"", ""uk"")"),"Бажаю тобі приємної подорожі.")</f>
        <v>Бажаю тобі приємної подорожі.</v>
      </c>
    </row>
    <row r="1584" ht="15.75" customHeight="1">
      <c r="A1584" s="1" t="s">
        <v>1551</v>
      </c>
      <c r="B1584" s="2" t="str">
        <f>IFERROR(__xludf.DUMMYFUNCTION("GOOGLETRANSLATE(A1584, ""de"", ""uk"")"),"Квиток до Лісабона коштує двісті євро.")</f>
        <v>Квиток до Лісабона коштує двісті євро.</v>
      </c>
    </row>
    <row r="1585" ht="15.75" customHeight="1">
      <c r="A1585" s="1" t="s">
        <v>1552</v>
      </c>
      <c r="B1585" s="2" t="str">
        <f>IFERROR(__xludf.DUMMYFUNCTION("GOOGLETRANSLATE(A1585, ""de"", ""uk"")"),"Я не проїжджаю весь маршрут.")</f>
        <v>Я не проїжджаю весь маршрут.</v>
      </c>
    </row>
    <row r="1586" ht="15.75" customHeight="1">
      <c r="A1586" s="1" t="s">
        <v>1553</v>
      </c>
      <c r="B1586" s="2" t="str">
        <f>IFERROR(__xludf.DUMMYFUNCTION("GOOGLETRANSLATE(A1586, ""de"", ""uk"")"),"На жаль, я не володію цією інформацією.")</f>
        <v>На жаль, я не володію цією інформацією.</v>
      </c>
    </row>
    <row r="1587" ht="15.75" customHeight="1">
      <c r="A1587" s="1" t="s">
        <v>1554</v>
      </c>
      <c r="B1587" s="2" t="str">
        <f>IFERROR(__xludf.DUMMYFUNCTION("GOOGLETRANSLATE(A1587, ""de"", ""uk"")"),"В оголошенні сказано, що поїзд прибуде на десять хвилин пізніше.")</f>
        <v>В оголошенні сказано, що поїзд прибуде на десять хвилин пізніше.</v>
      </c>
    </row>
    <row r="1588" ht="15.75" customHeight="1">
      <c r="A1588" s="1" t="s">
        <v>1555</v>
      </c>
      <c r="B1588" s="2" t="str">
        <f>IFERROR(__xludf.DUMMYFUNCTION("GOOGLETRANSLATE(A1588, ""de"", ""uk"")"),"Це поганий зв'язок.")</f>
        <v>Це поганий зв'язок.</v>
      </c>
    </row>
    <row r="1589" ht="15.75" customHeight="1">
      <c r="A1589" s="1" t="s">
        <v>1556</v>
      </c>
      <c r="B1589" s="2" t="str">
        <f>IFERROR(__xludf.DUMMYFUNCTION("GOOGLETRANSLATE(A1589, ""de"", ""uk"")"),"Ідіть, будь ласка, ліворуч.")</f>
        <v>Ідіть, будь ласка, ліворуч.</v>
      </c>
    </row>
    <row r="1590" ht="15.75" customHeight="1">
      <c r="A1590" s="1" t="s">
        <v>1557</v>
      </c>
      <c r="B1590" s="2" t="str">
        <f>IFERROR(__xludf.DUMMYFUNCTION("GOOGLETRANSLATE(A1590, ""de"", ""uk"")"),"Тепер ви повинні повернути праворуч.")</f>
        <v>Тепер ви повинні повернути праворуч.</v>
      </c>
    </row>
    <row r="1591" ht="15.75" customHeight="1">
      <c r="A1591" s="1" t="s">
        <v>1558</v>
      </c>
      <c r="B1591" s="2" t="str">
        <f>IFERROR(__xludf.DUMMYFUNCTION("GOOGLETRANSLATE(A1591, ""de"", ""uk"")"),"Завжди йдіть прямо, доки не дійдете до церкви, а потім поверніть ліворуч.")</f>
        <v>Завжди йдіть прямо, доки не дійдете до церкви, а потім поверніть ліворуч.</v>
      </c>
    </row>
    <row r="1592" ht="15.75" customHeight="1">
      <c r="A1592" s="1" t="s">
        <v>1559</v>
      </c>
      <c r="B1592" s="2" t="str">
        <f>IFERROR(__xludf.DUMMYFUNCTION("GOOGLETRANSLATE(A1592, ""de"", ""uk"")"),"Таксі стоїть перед вокзалом.")</f>
        <v>Таксі стоїть перед вокзалом.</v>
      </c>
    </row>
    <row r="1593" ht="15.75" customHeight="1">
      <c r="A1593" s="1" t="s">
        <v>1560</v>
      </c>
      <c r="B1593" s="2" t="str">
        <f>IFERROR(__xludf.DUMMYFUNCTION("GOOGLETRANSLATE(A1593, ""de"", ""uk"")"),"Я сьогодні не повернуся.")</f>
        <v>Я сьогодні не повернуся.</v>
      </c>
    </row>
    <row r="1594" ht="15.75" customHeight="1">
      <c r="A1594" s="1" t="s">
        <v>1561</v>
      </c>
      <c r="B1594" s="2" t="str">
        <f>IFERROR(__xludf.DUMMYFUNCTION("GOOGLETRANSLATE(A1594, ""de"", ""uk"")"),"Тут гарно.")</f>
        <v>Тут гарно.</v>
      </c>
    </row>
    <row r="1595" ht="15.75" customHeight="1">
      <c r="A1595" s="1" t="s">
        <v>1562</v>
      </c>
      <c r="B1595" s="2" t="str">
        <f>IFERROR(__xludf.DUMMYFUNCTION("GOOGLETRANSLATE(A1595, ""de"", ""uk"")"),"Ми вже проїхали через Берлін.")</f>
        <v>Ми вже проїхали через Берлін.</v>
      </c>
    </row>
    <row r="1596" ht="15.75" customHeight="1">
      <c r="A1596" s="1" t="s">
        <v>1563</v>
      </c>
      <c r="B1596" s="2" t="str">
        <f>IFERROR(__xludf.DUMMYFUNCTION("GOOGLETRANSLATE(A1596, ""de"", ""uk"")"),"Починається через дві хвилини.")</f>
        <v>Починається через дві хвилини.</v>
      </c>
    </row>
    <row r="1597" ht="15.75" customHeight="1">
      <c r="A1597" s="1" t="s">
        <v>1564</v>
      </c>
      <c r="B1597" s="2" t="str">
        <f>IFERROR(__xludf.DUMMYFUNCTION("GOOGLETRANSLATE(A1597, ""de"", ""uk"")"),"Ви хочете втекти звідси.")</f>
        <v>Ви хочете втекти звідси.</v>
      </c>
    </row>
    <row r="1598" ht="15.75" customHeight="1">
      <c r="A1598" s="1" t="s">
        <v>1565</v>
      </c>
      <c r="B1598" s="2" t="str">
        <f>IFERROR(__xludf.DUMMYFUNCTION("GOOGLETRANSLATE(A1598, ""de"", ""uk"")"),"Там позаду вже нічого немає.")</f>
        <v>Там позаду вже нічого немає.</v>
      </c>
    </row>
    <row r="1599" ht="15.75" customHeight="1">
      <c r="A1599" s="1" t="s">
        <v>1566</v>
      </c>
      <c r="B1599" s="2" t="str">
        <f>IFERROR(__xludf.DUMMYFUNCTION("GOOGLETRANSLATE(A1599, ""de"", ""uk"")"),"Попереду хороший ресторан.")</f>
        <v>Попереду хороший ресторан.</v>
      </c>
    </row>
    <row r="1600" ht="15.75" customHeight="1">
      <c r="A1600" s="1" t="s">
        <v>1567</v>
      </c>
      <c r="B1600" s="2" t="str">
        <f>IFERROR(__xludf.DUMMYFUNCTION("GOOGLETRANSLATE(A1600, ""de"", ""uk"")"),"Таксі все-таки не приходить.")</f>
        <v>Таксі все-таки не приходить.</v>
      </c>
    </row>
    <row r="1601" ht="15.75" customHeight="1">
      <c r="A1601" s="1" t="s">
        <v>1568</v>
      </c>
      <c r="B1601" s="2" t="str">
        <f>IFERROR(__xludf.DUMMYFUNCTION("GOOGLETRANSLATE(A1601, ""de"", ""uk"")"),"Через аварію вони не можуть далі їхати тут.")</f>
        <v>Через аварію вони не можуть далі їхати тут.</v>
      </c>
    </row>
    <row r="1602" ht="15.75" customHeight="1">
      <c r="A1602" s="1" t="s">
        <v>1569</v>
      </c>
      <c r="B1602" s="2" t="str">
        <f>IFERROR(__xludf.DUMMYFUNCTION("GOOGLETRANSLATE(A1602, ""de"", ""uk"")"),"Ми зараз між Дрезденом і Лейпцигом.")</f>
        <v>Ми зараз між Дрезденом і Лейпцигом.</v>
      </c>
    </row>
    <row r="1603" ht="15.75" customHeight="1">
      <c r="A1603" s="1" t="s">
        <v>1570</v>
      </c>
      <c r="B1603" s="2" t="str">
        <f>IFERROR(__xludf.DUMMYFUNCTION("GOOGLETRANSLATE(A1603, ""de"", ""uk"")"),"Ваша платформа є.")</f>
        <v>Ваша платформа є.</v>
      </c>
    </row>
    <row r="1604" ht="15.75" customHeight="1">
      <c r="A1604" s="1" t="s">
        <v>1571</v>
      </c>
      <c r="B1604" s="2" t="str">
        <f>IFERROR(__xludf.DUMMYFUNCTION("GOOGLETRANSLATE(A1604, ""de"", ""uk"")"),"Я хотів би сам організувати свою поїздку.")</f>
        <v>Я хотів би сам організувати свою поїздку.</v>
      </c>
    </row>
    <row r="1605" ht="15.75" customHeight="1">
      <c r="A1605" s="1" t="s">
        <v>1572</v>
      </c>
      <c r="B1605" s="2" t="str">
        <f>IFERROR(__xludf.DUMMYFUNCTION("GOOGLETRANSLATE(A1605, ""de"", ""uk"")"),"Ви все ще керуєте сьогодні?")</f>
        <v>Ви все ще керуєте сьогодні?</v>
      </c>
    </row>
    <row r="1606" ht="15.75" customHeight="1">
      <c r="A1606" s="1" t="s">
        <v>1573</v>
      </c>
      <c r="B1606" s="2" t="str">
        <f>IFERROR(__xludf.DUMMYFUNCTION("GOOGLETRANSLATE(A1606, ""de"", ""uk"")"),"Коли ти повертаєшся?")</f>
        <v>Коли ти повертаєшся?</v>
      </c>
    </row>
    <row r="1607" ht="15.75" customHeight="1">
      <c r="A1607" s="1" t="s">
        <v>1574</v>
      </c>
      <c r="B1607" s="2" t="str">
        <f>IFERROR(__xludf.DUMMYFUNCTION("GOOGLETRANSLATE(A1607, ""de"", ""uk"")"),"Вранці їздимо туди, а ввечері назад.")</f>
        <v>Вранці їздимо туди, а ввечері назад.</v>
      </c>
    </row>
    <row r="1608" ht="15.75" customHeight="1">
      <c r="A1608" s="1" t="s">
        <v>1575</v>
      </c>
      <c r="B1608" s="2" t="str">
        <f>IFERROR(__xludf.DUMMYFUNCTION("GOOGLETRANSLATE(A1608, ""de"", ""uk"")"),"Зараз автобуси до Дрездена не курсують.")</f>
        <v>Зараз автобуси до Дрездена не курсують.</v>
      </c>
    </row>
    <row r="1609" ht="15.75" customHeight="1">
      <c r="A1609" s="4" t="s">
        <v>1576</v>
      </c>
      <c r="B1609" s="2" t="str">
        <f>IFERROR(__xludf.DUMMYFUNCTION("GOOGLETRANSLATE(A1609, ""de"", ""uk"")"),"Я хотів би одномісну кімнату, будь ласка.")</f>
        <v>Я хотів би одномісну кімнату, будь ласка.</v>
      </c>
    </row>
    <row r="1610" ht="15.75" customHeight="1">
      <c r="A1610" s="4" t="s">
        <v>1577</v>
      </c>
      <c r="B1610" s="2" t="str">
        <f>IFERROR(__xludf.DUMMYFUNCTION("GOOGLETRANSLATE(A1610, ""de"", ""uk"")"),"Йому потрібна двомісна кімната для себе та дружини.")</f>
        <v>Йому потрібна двомісна кімната для себе та дружини.</v>
      </c>
    </row>
    <row r="1611" ht="15.75" customHeight="1">
      <c r="A1611" s="4" t="s">
        <v>1578</v>
      </c>
      <c r="B1611" s="2" t="str">
        <f>IFERROR(__xludf.DUMMYFUNCTION("GOOGLETRANSLATE(A1611, ""de"", ""uk"")"),"У нас достатньо місця у валізі.")</f>
        <v>У нас достатньо місця у валізі.</v>
      </c>
    </row>
    <row r="1612" ht="15.75" customHeight="1">
      <c r="A1612" s="4" t="s">
        <v>1579</v>
      </c>
      <c r="B1612" s="2" t="str">
        <f>IFERROR(__xludf.DUMMYFUNCTION("GOOGLETRANSLATE(A1612, ""de"", ""uk"")"),"Відправлення о дванадцятій годині дня.")</f>
        <v>Відправлення о дванадцятій годині дня.</v>
      </c>
    </row>
    <row r="1613" ht="15.75" customHeight="1">
      <c r="A1613" s="4" t="s">
        <v>1580</v>
      </c>
      <c r="B1613" s="2" t="str">
        <f>IFERROR(__xludf.DUMMYFUNCTION("GOOGLETRANSLATE(A1613, ""de"", ""uk"")"),"Після прибуття просимо з'явитися на рецепції.")</f>
        <v>Після прибуття просимо з'явитися на рецепції.</v>
      </c>
    </row>
    <row r="1614" ht="15.75" customHeight="1">
      <c r="A1614" s="4" t="s">
        <v>1581</v>
      </c>
      <c r="B1614" s="2" t="str">
        <f>IFERROR(__xludf.DUMMYFUNCTION("GOOGLETRANSLATE(A1614, ""de"", ""uk"")"),"Хто несе багаж?")</f>
        <v>Хто несе багаж?</v>
      </c>
    </row>
    <row r="1615" ht="15.75" customHeight="1">
      <c r="A1615" s="4" t="s">
        <v>1582</v>
      </c>
      <c r="B1615" s="2" t="str">
        <f>IFERROR(__xludf.DUMMYFUNCTION("GOOGLETRANSLATE(A1615, ""de"", ""uk"")"),"У її валізі багато одягу.")</f>
        <v>У її валізі багато одягу.</v>
      </c>
    </row>
    <row r="1616" ht="15.75" customHeight="1">
      <c r="A1616" s="4" t="s">
        <v>1583</v>
      </c>
      <c r="B1616" s="2" t="str">
        <f>IFERROR(__xludf.DUMMYFUNCTION("GOOGLETRANSLATE(A1616, ""de"", ""uk"")"),"Посвідчення особи в моїй кишені.")</f>
        <v>Посвідчення особи в моїй кишені.</v>
      </c>
    </row>
    <row r="1617" ht="15.75" customHeight="1">
      <c r="A1617" s="4" t="s">
        <v>1584</v>
      </c>
      <c r="B1617" s="2" t="str">
        <f>IFERROR(__xludf.DUMMYFUNCTION("GOOGLETRANSLATE(A1617, ""de"", ""uk"")"),"За пляшку вина на митниці треба заплатити три євро.")</f>
        <v>За пляшку вина на митниці треба заплатити три євро.</v>
      </c>
    </row>
    <row r="1618" ht="15.75" customHeight="1">
      <c r="A1618" s="4" t="s">
        <v>1585</v>
      </c>
      <c r="B1618" s="2" t="str">
        <f>IFERROR(__xludf.DUMMYFUNCTION("GOOGLETRANSLATE(A1618, ""de"", ""uk"")"),"Будьте обережні, на трасі сталася аварія.")</f>
        <v>Будьте обережні, на трасі сталася аварія.</v>
      </c>
    </row>
    <row r="1619" ht="15.75" customHeight="1">
      <c r="A1619" s="4" t="s">
        <v>1586</v>
      </c>
      <c r="B1619" s="2" t="str">
        <f>IFERROR(__xludf.DUMMYFUNCTION("GOOGLETRANSLATE(A1619, ""de"", ""uk"")"),"Мені потрібна допомога з формою.")</f>
        <v>Мені потрібна допомога з формою.</v>
      </c>
    </row>
    <row r="1620" ht="15.75" customHeight="1">
      <c r="A1620" s="4" t="s">
        <v>1587</v>
      </c>
      <c r="B1620" s="2" t="str">
        <f>IFERROR(__xludf.DUMMYFUNCTION("GOOGLETRANSLATE(A1620, ""de"", ""uk"")"),"В якому регіоні ми б хотіли відпочити?")</f>
        <v>В якому регіоні ми б хотіли відпочити?</v>
      </c>
    </row>
    <row r="1621" ht="15.75" customHeight="1">
      <c r="A1621" s="4" t="s">
        <v>1588</v>
      </c>
      <c r="B1621" s="2" t="str">
        <f>IFERROR(__xludf.DUMMYFUNCTION("GOOGLETRANSLATE(A1621, ""de"", ""uk"")"),"Ми забронювали дві ночі.")</f>
        <v>Ми забронювали дві ночі.</v>
      </c>
    </row>
    <row r="1622" ht="15.75" customHeight="1">
      <c r="A1622" s="4" t="s">
        <v>1589</v>
      </c>
      <c r="B1622" s="2" t="str">
        <f>IFERROR(__xludf.DUMMYFUNCTION("GOOGLETRANSLATE(A1622, ""de"", ""uk"")"),"Знайти дорогу до вокзалу дуже легко.")</f>
        <v>Знайти дорогу до вокзалу дуже легко.</v>
      </c>
    </row>
    <row r="1623" ht="15.75" customHeight="1">
      <c r="A1623" s="4" t="s">
        <v>1590</v>
      </c>
      <c r="B1623" s="2" t="str">
        <f>IFERROR(__xludf.DUMMYFUNCTION("GOOGLETRANSLATE(A1623, ""de"", ""uk"")"),"Автомобілі в пішохідну зону не пускають.")</f>
        <v>Автомобілі в пішохідну зону не пускають.</v>
      </c>
    </row>
    <row r="1624" ht="15.75" customHeight="1">
      <c r="A1624" s="4" t="s">
        <v>1591</v>
      </c>
      <c r="B1624" s="2" t="str">
        <f>IFERROR(__xludf.DUMMYFUNCTION("GOOGLETRANSLATE(A1624, ""de"", ""uk"")"),"У вас є бронь?")</f>
        <v>У вас є бронь?</v>
      </c>
    </row>
    <row r="1625" ht="15.75" customHeight="1">
      <c r="A1625" s="4" t="s">
        <v>1592</v>
      </c>
      <c r="B1625" s="2" t="str">
        <f>IFERROR(__xludf.DUMMYFUNCTION("GOOGLETRANSLATE(A1625, ""de"", ""uk"")"),"Сьогодні ми вирушаємо в подорож містом.")</f>
        <v>Сьогодні ми вирушаємо в подорож містом.</v>
      </c>
    </row>
    <row r="1626" ht="15.75" customHeight="1">
      <c r="A1626" s="4" t="s">
        <v>1593</v>
      </c>
      <c r="B1626" s="2" t="str">
        <f>IFERROR(__xludf.DUMMYFUNCTION("GOOGLETRANSLATE(A1626, ""de"", ""uk"")"),"Я йду до інформації і отримую зв’язок.")</f>
        <v>Я йду до інформації і отримую зв’язок.</v>
      </c>
    </row>
    <row r="1627" ht="15.75" customHeight="1">
      <c r="A1627" s="4" t="s">
        <v>1594</v>
      </c>
      <c r="B1627" s="2" t="str">
        <f>IFERROR(__xludf.DUMMYFUNCTION("GOOGLETRANSLATE(A1627, ""de"", ""uk"")"),"Чи можете ви дати мені підказку?")</f>
        <v>Чи можете ви дати мені підказку?</v>
      </c>
    </row>
    <row r="1628" ht="15.75" customHeight="1">
      <c r="A1628" s="4" t="s">
        <v>1595</v>
      </c>
      <c r="B1628" s="2" t="str">
        <f>IFERROR(__xludf.DUMMYFUNCTION("GOOGLETRANSLATE(A1628, ""de"", ""uk"")"),"Ви повинні сісти на дванадцяту лінію до зупинки Goethestrasse.")</f>
        <v>Ви повинні сісти на дванадцяту лінію до зупинки Goethestrasse.</v>
      </c>
    </row>
    <row r="1629" ht="15.75" customHeight="1">
      <c r="A1629" s="4" t="s">
        <v>1596</v>
      </c>
      <c r="B1629" s="2" t="str">
        <f>IFERROR(__xludf.DUMMYFUNCTION("GOOGLETRANSLATE(A1629, ""de"", ""uk"")"),"Я біля вокзалу.")</f>
        <v>Я біля вокзалу.</v>
      </c>
    </row>
    <row r="1630" ht="15.75" customHeight="1">
      <c r="A1630" s="4" t="s">
        <v>1597</v>
      </c>
      <c r="B1630" s="2" t="str">
        <f>IFERROR(__xludf.DUMMYFUNCTION("GOOGLETRANSLATE(A1630, ""de"", ""uk"")"),"У якому напрямку я маю йти?")</f>
        <v>У якому напрямку я маю йти?</v>
      </c>
    </row>
    <row r="1631" ht="15.75" customHeight="1">
      <c r="A1631" s="4" t="s">
        <v>1598</v>
      </c>
      <c r="B1631" s="2" t="str">
        <f>IFERROR(__xludf.DUMMYFUNCTION("GOOGLETRANSLATE(A1631, ""de"", ""uk"")"),"Він більше не контролює автомобіль.")</f>
        <v>Він більше не контролює автомобіль.</v>
      </c>
    </row>
    <row r="1632" ht="15.75" customHeight="1">
      <c r="A1632" s="4" t="s">
        <v>1599</v>
      </c>
      <c r="B1632" s="2" t="str">
        <f>IFERROR(__xludf.DUMMYFUNCTION("GOOGLETRANSLATE(A1632, ""de"", ""uk"")"),"Чи можу я подорожувати цією зоною зі своїм квитком на автобус?")</f>
        <v>Чи можу я подорожувати цією зоною зі своїм квитком на автобус?</v>
      </c>
    </row>
    <row r="1633" ht="15.75" customHeight="1">
      <c r="A1633" s="4" t="s">
        <v>1600</v>
      </c>
      <c r="B1633" s="2" t="str">
        <f>IFERROR(__xludf.DUMMYFUNCTION("GOOGLETRANSLATE(A1633, ""de"", ""uk"")"),"Увага, йде оголошення.")</f>
        <v>Увага, йде оголошення.</v>
      </c>
    </row>
    <row r="1634" ht="15.75" customHeight="1">
      <c r="A1634" s="4" t="s">
        <v>1601</v>
      </c>
      <c r="B1634" s="2" t="str">
        <f>IFERROR(__xludf.DUMMYFUNCTION("GOOGLETRANSLATE(A1634, ""de"", ""uk"")"),"Ви повинні заплатити додаткову плату за свій багаж.")</f>
        <v>Ви повинні заплатити додаткову плату за свій багаж.</v>
      </c>
    </row>
    <row r="1635" ht="15.75" customHeight="1">
      <c r="A1635" s="4" t="s">
        <v>1602</v>
      </c>
      <c r="B1635" s="2" t="str">
        <f>IFERROR(__xludf.DUMMYFUNCTION("GOOGLETRANSLATE(A1635, ""de"", ""uk"")"),"З цим потрібно йти на прийом.")</f>
        <v>З цим потрібно йти на прийом.</v>
      </c>
    </row>
    <row r="1636" ht="15.75" customHeight="1">
      <c r="A1636" s="4" t="s">
        <v>1603</v>
      </c>
      <c r="B1636" s="2" t="str">
        <f>IFERROR(__xludf.DUMMYFUNCTION("GOOGLETRANSLATE(A1636, ""de"", ""uk"")"),"Коли я повернусь, я хотів би чогось випити.")</f>
        <v>Коли я повернусь, я хотів би чогось випити.</v>
      </c>
    </row>
    <row r="1637" ht="15.75" customHeight="1">
      <c r="A1637" s="4" t="s">
        <v>1604</v>
      </c>
      <c r="B1637" s="2" t="str">
        <f>IFERROR(__xludf.DUMMYFUNCTION("GOOGLETRANSLATE(A1637, ""de"", ""uk"")"),"У моєму рюкзаку більше немає місця.")</f>
        <v>У моєму рюкзаку більше немає місця.</v>
      </c>
    </row>
    <row r="1638" ht="15.75" customHeight="1">
      <c r="A1638" s="4" t="s">
        <v>1605</v>
      </c>
      <c r="B1638" s="2" t="str">
        <f>IFERROR(__xludf.DUMMYFUNCTION("GOOGLETRANSLATE(A1638, ""de"", ""uk"")"),"У моїх черевиках пісок.")</f>
        <v>У моїх черевиках пісок.</v>
      </c>
    </row>
    <row r="1639" ht="15.75" customHeight="1">
      <c r="A1639" s="4" t="s">
        <v>1606</v>
      </c>
      <c r="B1639" s="2" t="str">
        <f>IFERROR(__xludf.DUMMYFUNCTION("GOOGLETRANSLATE(A1639, ""de"", ""uk"")"),"Турфірма продала мені квитки на літак за двісті євро.")</f>
        <v>Турфірма продала мені квитки на літак за двісті євро.</v>
      </c>
    </row>
    <row r="1640" ht="15.75" customHeight="1">
      <c r="A1640" s="4" t="s">
        <v>1607</v>
      </c>
      <c r="B1640" s="2" t="str">
        <f>IFERROR(__xludf.DUMMYFUNCTION("GOOGLETRANSLATE(A1640, ""de"", ""uk"")"),"Гід каже, що ми повинні йти в цьому напрямку.")</f>
        <v>Гід каже, що ми повинні йти в цьому напрямку.</v>
      </c>
    </row>
    <row r="1641" ht="15.75" customHeight="1">
      <c r="A1641" s="4" t="s">
        <v>1608</v>
      </c>
      <c r="B1641" s="2" t="str">
        <f>IFERROR(__xludf.DUMMYFUNCTION("GOOGLETRANSLATE(A1641, ""de"", ""uk"")"),"Турист шукає інформацію.")</f>
        <v>Турист шукає інформацію.</v>
      </c>
    </row>
    <row r="1642" ht="15.75" customHeight="1">
      <c r="A1642" s="4" t="s">
        <v>1609</v>
      </c>
      <c r="B1642" s="2" t="str">
        <f>IFERROR(__xludf.DUMMYFUNCTION("GOOGLETRANSLATE(A1642, ""de"", ""uk"")"),"Ми у відпустці.")</f>
        <v>Ми у відпустці.</v>
      </c>
    </row>
    <row r="1643" ht="15.75" customHeight="1">
      <c r="A1643" s="4" t="s">
        <v>1610</v>
      </c>
      <c r="B1643" s="2" t="str">
        <f>IFERROR(__xludf.DUMMYFUNCTION("GOOGLETRANSLATE(A1643, ""de"", ""uk"")"),"У мене є скарга.")</f>
        <v>У мене є скарга.</v>
      </c>
    </row>
    <row r="1644" ht="15.75" customHeight="1">
      <c r="A1644" s="1" t="s">
        <v>1611</v>
      </c>
      <c r="B1644" s="2" t="str">
        <f>IFERROR(__xludf.DUMMYFUNCTION("GOOGLETRANSLATE(A1644, ""de"", ""uk"")"),"Моя машина дуже дорога.")</f>
        <v>Моя машина дуже дорога.</v>
      </c>
    </row>
    <row r="1645" ht="15.75" customHeight="1">
      <c r="A1645" s="1" t="s">
        <v>1612</v>
      </c>
      <c r="B1645" s="2" t="str">
        <f>IFERROR(__xludf.DUMMYFUNCTION("GOOGLETRANSLATE(A1645, ""de"", ""uk"")"),"Після аварії велосипедист відчуває сильний біль.")</f>
        <v>Після аварії велосипедист відчуває сильний біль.</v>
      </c>
    </row>
    <row r="1646" ht="15.75" customHeight="1">
      <c r="A1646" s="1" t="s">
        <v>1613</v>
      </c>
      <c r="B1646" s="2" t="str">
        <f>IFERROR(__xludf.DUMMYFUNCTION("GOOGLETRANSLATE(A1646, ""de"", ""uk"")"),"Ваш велосипед зламався.")</f>
        <v>Ваш велосипед зламався.</v>
      </c>
    </row>
    <row r="1647" ht="15.75" customHeight="1">
      <c r="A1647" s="1" t="s">
        <v>1614</v>
      </c>
      <c r="B1647" s="2" t="str">
        <f>IFERROR(__xludf.DUMMYFUNCTION("GOOGLETRANSLATE(A1647, ""de"", ""uk"")"),"Вантажівка тут не може паркуватися.")</f>
        <v>Вантажівка тут не може паркуватися.</v>
      </c>
    </row>
    <row r="1648" ht="15.75" customHeight="1">
      <c r="A1648" s="1" t="s">
        <v>1615</v>
      </c>
      <c r="B1648" s="2" t="str">
        <f>IFERROR(__xludf.DUMMYFUNCTION("GOOGLETRANSLATE(A1648, ""de"", ""uk"")"),"Коли нарешті приїде таксі?")</f>
        <v>Коли нарешті приїде таксі?</v>
      </c>
    </row>
    <row r="1649" ht="15.75" customHeight="1">
      <c r="A1649" s="1" t="s">
        <v>1616</v>
      </c>
      <c r="B1649" s="2" t="str">
        <f>IFERROR(__xludf.DUMMYFUNCTION("GOOGLETRANSLATE(A1649, ""de"", ""uk"")"),"Я не їду автобусом.")</f>
        <v>Я не їду автобусом.</v>
      </c>
    </row>
    <row r="1650" ht="15.75" customHeight="1">
      <c r="A1650" s="1" t="s">
        <v>1617</v>
      </c>
      <c r="B1650" s="2" t="str">
        <f>IFERROR(__xludf.DUMMYFUNCTION("GOOGLETRANSLATE(A1650, ""de"", ""uk"")"),"Бажаєте доїхати до аеропорту на S-Bahn?")</f>
        <v>Бажаєте доїхати до аеропорту на S-Bahn?</v>
      </c>
    </row>
    <row r="1651" ht="15.75" customHeight="1">
      <c r="A1651" s="1" t="s">
        <v>1618</v>
      </c>
      <c r="B1651" s="2" t="str">
        <f>IFERROR(__xludf.DUMMYFUNCTION("GOOGLETRANSLATE(A1651, ""de"", ""uk"")"),"Я не люблю їздити на метро.")</f>
        <v>Я не люблю їздити на метро.</v>
      </c>
    </row>
    <row r="1652" ht="15.75" customHeight="1">
      <c r="A1652" s="1" t="s">
        <v>1619</v>
      </c>
      <c r="B1652" s="2" t="str">
        <f>IFERROR(__xludf.DUMMYFUNCTION("GOOGLETRANSLATE(A1652, ""de"", ""uk"")"),"У вас є квиток на трамвай?")</f>
        <v>У вас є квиток на трамвай?</v>
      </c>
    </row>
    <row r="1653" ht="15.75" customHeight="1">
      <c r="A1653" s="1" t="s">
        <v>1620</v>
      </c>
      <c r="B1653" s="2" t="str">
        <f>IFERROR(__xludf.DUMMYFUNCTION("GOOGLETRANSLATE(A1653, ""de"", ""uk"")"),"Поїзд ходить тільки до Дрездена.")</f>
        <v>Поїзд ходить тільки до Дрездена.</v>
      </c>
    </row>
    <row r="1654" ht="15.75" customHeight="1">
      <c r="A1654" s="1" t="s">
        <v>1621</v>
      </c>
      <c r="B1654" s="2" t="str">
        <f>IFERROR(__xludf.DUMMYFUNCTION("GOOGLETRANSLATE(A1654, ""de"", ""uk"")"),"Літак сьогодні вже не літає.")</f>
        <v>Літак сьогодні вже не літає.</v>
      </c>
    </row>
    <row r="1655" ht="15.75" customHeight="1">
      <c r="A1655" s="1" t="s">
        <v>1622</v>
      </c>
      <c r="B1655" s="2" t="str">
        <f>IFERROR(__xludf.DUMMYFUNCTION("GOOGLETRANSLATE(A1655, ""de"", ""uk"")"),"Це довга подорож на кораблі.")</f>
        <v>Це довга подорож на кораблі.</v>
      </c>
    </row>
    <row r="1656" ht="15.75" customHeight="1">
      <c r="A1656" s="1" t="s">
        <v>1623</v>
      </c>
      <c r="B1656" s="2" t="str">
        <f>IFERROR(__xludf.DUMMYFUNCTION("GOOGLETRANSLATE(A1656, ""de"", ""uk"")"),"Яким транспортом ми повинні скористатися?")</f>
        <v>Яким транспортом ми повинні скористатися?</v>
      </c>
    </row>
    <row r="1657" ht="15.75" customHeight="1">
      <c r="A1657" s="1" t="s">
        <v>1624</v>
      </c>
      <c r="B1657" s="2" t="str">
        <f>IFERROR(__xludf.DUMMYFUNCTION("GOOGLETRANSLATE(A1657, ""de"", ""uk"")"),"У цьому місті немає метро.")</f>
        <v>У цьому місті немає метро.</v>
      </c>
    </row>
    <row r="1658" ht="15.75" customHeight="1">
      <c r="A1658" s="1" t="s">
        <v>1625</v>
      </c>
      <c r="B1658" s="2" t="str">
        <f>IFERROR(__xludf.DUMMYFUNCTION("GOOGLETRANSLATE(A1658, ""de"", ""uk"")"),"У кожному селі є церква.")</f>
        <v>У кожному селі є церква.</v>
      </c>
    </row>
    <row r="1659" ht="15.75" customHeight="1">
      <c r="A1659" s="1" t="s">
        <v>1626</v>
      </c>
      <c r="B1659" s="2" t="str">
        <f>IFERROR(__xludf.DUMMYFUNCTION("GOOGLETRANSLATE(A1659, ""de"", ""uk"")"),"Вона щодня ходить до церкви.")</f>
        <v>Вона щодня ходить до церкви.</v>
      </c>
    </row>
    <row r="1660" ht="15.75" customHeight="1">
      <c r="A1660" s="1" t="s">
        <v>1627</v>
      </c>
      <c r="B1660" s="2" t="str">
        <f>IFERROR(__xludf.DUMMYFUNCTION("GOOGLETRANSLATE(A1660, ""de"", ""uk"")"),"Цей готель не дуже гарний.")</f>
        <v>Цей готель не дуже гарний.</v>
      </c>
    </row>
    <row r="1661" ht="15.75" customHeight="1">
      <c r="A1661" s="1" t="s">
        <v>1628</v>
      </c>
      <c r="B1661" s="2" t="str">
        <f>IFERROR(__xludf.DUMMYFUNCTION("GOOGLETRANSLATE(A1661, ""de"", ""uk"")"),"На якій зупинці я маю вийти?")</f>
        <v>На якій зупинці я маю вийти?</v>
      </c>
    </row>
    <row r="1662" ht="15.75" customHeight="1">
      <c r="A1662" s="1" t="s">
        <v>1629</v>
      </c>
      <c r="B1662" s="2" t="str">
        <f>IFERROR(__xludf.DUMMYFUNCTION("GOOGLETRANSLATE(A1662, ""de"", ""uk"")"),"На вокзалі багато дітей.")</f>
        <v>На вокзалі багато дітей.</v>
      </c>
    </row>
    <row r="1663" ht="15.75" customHeight="1">
      <c r="A1663" s="1" t="s">
        <v>1630</v>
      </c>
      <c r="B1663" s="2" t="str">
        <f>IFERROR(__xludf.DUMMYFUNCTION("GOOGLETRANSLATE(A1663, ""de"", ""uk"")"),"На якій платформі відправляється поїзд до Дрездена?")</f>
        <v>На якій платформі відправляється поїзд до Дрездена?</v>
      </c>
    </row>
    <row r="1664" ht="15.75" customHeight="1">
      <c r="A1664" s="1" t="s">
        <v>1631</v>
      </c>
      <c r="B1664" s="2" t="str">
        <f>IFERROR(__xludf.DUMMYFUNCTION("GOOGLETRANSLATE(A1664, ""de"", ""uk"")"),"Ми повинні сьогодні їхати в аеропорт.")</f>
        <v>Ми повинні сьогодні їхати в аеропорт.</v>
      </c>
    </row>
    <row r="1665" ht="15.75" customHeight="1">
      <c r="A1665" s="1" t="s">
        <v>1632</v>
      </c>
      <c r="B1665" s="2" t="str">
        <f>IFERROR(__xludf.DUMMYFUNCTION("GOOGLETRANSLATE(A1665, ""de"", ""uk"")"),"Де я можу знайти порт?")</f>
        <v>Де я можу знайти порт?</v>
      </c>
    </row>
    <row r="1666" ht="15.75" customHeight="1">
      <c r="A1666" s="1" t="s">
        <v>1633</v>
      </c>
      <c r="B1666" s="2" t="str">
        <f>IFERROR(__xludf.DUMMYFUNCTION("GOOGLETRANSLATE(A1666, ""de"", ""uk"")"),"На пляжі багато піску.")</f>
        <v>На пляжі багато піску.</v>
      </c>
    </row>
    <row r="1667" ht="15.75" customHeight="1">
      <c r="A1667" s="1" t="s">
        <v>1634</v>
      </c>
      <c r="B1667" s="2" t="str">
        <f>IFERROR(__xludf.DUMMYFUNCTION("GOOGLETRANSLATE(A1667, ""de"", ""uk"")"),"У центрі міста багато готелів.")</f>
        <v>У центрі міста багато готелів.</v>
      </c>
    </row>
    <row r="1668" ht="15.75" customHeight="1">
      <c r="A1668" s="1" t="s">
        <v>1635</v>
      </c>
      <c r="B1668" s="2" t="str">
        <f>IFERROR(__xludf.DUMMYFUNCTION("GOOGLETRANSLATE(A1668, ""de"", ""uk"")"),"У вас є карта міста з собою?")</f>
        <v>У вас є карта міста з собою?</v>
      </c>
    </row>
    <row r="1669" ht="15.75" customHeight="1">
      <c r="A1669" s="1" t="s">
        <v>1636</v>
      </c>
      <c r="B1669" s="2" t="str">
        <f>IFERROR(__xludf.DUMMYFUNCTION("GOOGLETRANSLATE(A1669, ""de"", ""uk"")"),"В якому районі ти живеш?")</f>
        <v>В якому районі ти живеш?</v>
      </c>
    </row>
    <row r="1670" ht="15.75" customHeight="1">
      <c r="A1670" s="1" t="s">
        <v>1637</v>
      </c>
      <c r="B1670" s="2" t="str">
        <f>IFERROR(__xludf.DUMMYFUNCTION("GOOGLETRANSLATE(A1670, ""de"", ""uk"")"),"Усі автобуси ходять до центру міста.")</f>
        <v>Усі автобуси ходять до центру міста.</v>
      </c>
    </row>
    <row r="1671" ht="15.75" customHeight="1">
      <c r="A1671" s="1" t="s">
        <v>1638</v>
      </c>
      <c r="B1671" s="2" t="str">
        <f>IFERROR(__xludf.DUMMYFUNCTION("GOOGLETRANSLATE(A1671, ""de"", ""uk"")"),"Ми повинні проїхати п'ять зупинок.")</f>
        <v>Ми повинні проїхати п'ять зупинок.</v>
      </c>
    </row>
    <row r="1672" ht="15.75" customHeight="1">
      <c r="A1672" s="1" t="s">
        <v>1639</v>
      </c>
      <c r="B1672" s="2" t="str">
        <f>IFERROR(__xludf.DUMMYFUNCTION("GOOGLETRANSLATE(A1672, ""de"", ""uk"")"),"П'ять років тому на цьому місці стояв готель.")</f>
        <v>П'ять років тому на цьому місці стояв готель.</v>
      </c>
    </row>
    <row r="1673" ht="15.75" customHeight="1">
      <c r="A1673" s="1" t="s">
        <v>1640</v>
      </c>
      <c r="B1673" s="2" t="str">
        <f>IFERROR(__xludf.DUMMYFUNCTION("GOOGLETRANSLATE(A1673, ""de"", ""uk"")"),"З цією формою тепер потрібно йти до мерії.")</f>
        <v>З цією формою тепер потрібно йти до мерії.</v>
      </c>
    </row>
    <row r="1674" ht="15.75" customHeight="1">
      <c r="A1674" s="1" t="s">
        <v>1641</v>
      </c>
      <c r="B1674" s="2" t="str">
        <f>IFERROR(__xludf.DUMMYFUNCTION("GOOGLETRANSLATE(A1674, ""de"", ""uk"")"),"Нарешті місце для паркування нашої машини.")</f>
        <v>Нарешті місце для паркування нашої машини.</v>
      </c>
    </row>
    <row r="1675" ht="15.75" customHeight="1">
      <c r="A1675" s="1" t="s">
        <v>1642</v>
      </c>
      <c r="B1675" s="2" t="str">
        <f>IFERROR(__xludf.DUMMYFUNCTION("GOOGLETRANSLATE(A1675, ""de"", ""uk"")"),"Ми не хочемо їхати в центр, там занадто багато транспорту.")</f>
        <v>Ми не хочемо їхати в центр, там занадто багато транспорту.</v>
      </c>
    </row>
    <row r="1676" ht="15.75" customHeight="1">
      <c r="A1676" s="1" t="s">
        <v>1643</v>
      </c>
      <c r="B1676" s="2" t="str">
        <f>IFERROR(__xludf.DUMMYFUNCTION("GOOGLETRANSLATE(A1676, ""de"", ""uk"")"),"Берлін — столиця Німеччини.")</f>
        <v>Берлін — столиця Німеччини.</v>
      </c>
    </row>
    <row r="1677" ht="15.75" customHeight="1">
      <c r="A1677" s="1" t="s">
        <v>1644</v>
      </c>
      <c r="B1677" s="2" t="str">
        <f>IFERROR(__xludf.DUMMYFUNCTION("GOOGLETRANSLATE(A1677, ""de"", ""uk"")"),"Баутцен не велике місто.")</f>
        <v>Баутцен не велике місто.</v>
      </c>
    </row>
    <row r="1678" ht="15.75" customHeight="1">
      <c r="A1678" s="1" t="s">
        <v>1645</v>
      </c>
      <c r="B1678" s="2" t="str">
        <f>IFERROR(__xludf.DUMMYFUNCTION("GOOGLETRANSLATE(A1678, ""de"", ""uk"")"),"На узбережжі багато готелів.")</f>
        <v>На узбережжі багато готелів.</v>
      </c>
    </row>
    <row r="1679" ht="15.75" customHeight="1">
      <c r="A1679" s="1" t="s">
        <v>1646</v>
      </c>
      <c r="B1679" s="2" t="str">
        <f>IFERROR(__xludf.DUMMYFUNCTION("GOOGLETRANSLATE(A1679, ""de"", ""uk"")"),"Ви за кермом?")</f>
        <v>Ви за кермом?</v>
      </c>
    </row>
    <row r="1680" ht="15.75" customHeight="1">
      <c r="A1680" s="1" t="s">
        <v>1647</v>
      </c>
      <c r="B1680" s="2" t="str">
        <f>IFERROR(__xludf.DUMMYFUNCTION("GOOGLETRANSLATE(A1680, ""de"", ""uk"")"),"Дитина сідає в машину.")</f>
        <v>Дитина сідає в машину.</v>
      </c>
    </row>
    <row r="1681" ht="15.75" customHeight="1">
      <c r="A1681" s="1" t="s">
        <v>1648</v>
      </c>
      <c r="B1681" s="2" t="str">
        <f>IFERROR(__xludf.DUMMYFUNCTION("GOOGLETRANSLATE(A1681, ""de"", ""uk"")"),"Ви повинні вийти тут.")</f>
        <v>Ви повинні вийти тут.</v>
      </c>
    </row>
    <row r="1682" ht="15.75" customHeight="1">
      <c r="A1682" s="1" t="s">
        <v>1649</v>
      </c>
      <c r="B1682" s="2" t="str">
        <f>IFERROR(__xludf.DUMMYFUNCTION("GOOGLETRANSLATE(A1682, ""de"", ""uk"")"),"Їду вже два місяці.")</f>
        <v>Їду вже два місяці.</v>
      </c>
    </row>
    <row r="1683" ht="15.75" customHeight="1">
      <c r="A1683" s="1" t="s">
        <v>1650</v>
      </c>
      <c r="B1683" s="2" t="str">
        <f>IFERROR(__xludf.DUMMYFUNCTION("GOOGLETRANSLATE(A1683, ""de"", ""uk"")"),"Літак летить до Нью-Йорка,")</f>
        <v>Літак летить до Нью-Йорка,</v>
      </c>
    </row>
    <row r="1684" ht="15.75" customHeight="1">
      <c r="A1684" s="1" t="s">
        <v>1651</v>
      </c>
      <c r="B1684" s="2" t="str">
        <f>IFERROR(__xludf.DUMMYFUNCTION("GOOGLETRANSLATE(A1684, ""de"", ""uk"")"),"Він йде в супермаркет.")</f>
        <v>Він йде в супермаркет.</v>
      </c>
    </row>
    <row r="1685" ht="15.75" customHeight="1">
      <c r="A1685" s="1" t="s">
        <v>1652</v>
      </c>
      <c r="B1685" s="2" t="str">
        <f>IFERROR(__xludf.DUMMYFUNCTION("GOOGLETRANSLATE(A1685, ""de"", ""uk"")"),"Жінки йдуть до вокзалу.")</f>
        <v>Жінки йдуть до вокзалу.</v>
      </c>
    </row>
    <row r="1686" ht="15.75" customHeight="1">
      <c r="A1686" s="1" t="s">
        <v>1653</v>
      </c>
      <c r="B1686" s="2" t="str">
        <f>IFERROR(__xludf.DUMMYFUNCTION("GOOGLETRANSLATE(A1686, ""de"", ""uk"")"),"Я беру трохи хліба в пекарні.")</f>
        <v>Я беру трохи хліба в пекарні.</v>
      </c>
    </row>
    <row r="1687" ht="15.75" customHeight="1">
      <c r="A1687" s="1" t="s">
        <v>1654</v>
      </c>
      <c r="B1687" s="2" t="str">
        <f>IFERROR(__xludf.DUMMYFUNCTION("GOOGLETRANSLATE(A1687, ""de"", ""uk"")"),"Ви берете свій велосипед?")</f>
        <v>Ви берете свій велосипед?</v>
      </c>
    </row>
    <row r="1688" ht="15.75" customHeight="1">
      <c r="A1688" s="1" t="s">
        <v>1655</v>
      </c>
      <c r="B1688" s="2" t="str">
        <f>IFERROR(__xludf.DUMMYFUNCTION("GOOGLETRANSLATE(A1688, ""de"", ""uk"")"),"Ми залишимося ще тиждень.")</f>
        <v>Ми залишимося ще тиждень.</v>
      </c>
    </row>
    <row r="1689" ht="15.75" customHeight="1">
      <c r="A1689" s="1" t="s">
        <v>1656</v>
      </c>
      <c r="B1689" s="2" t="str">
        <f>IFERROR(__xludf.DUMMYFUNCTION("GOOGLETRANSLATE(A1689, ""de"", ""uk"")"),"Чоловік зустрічає дружину на вокзалі.")</f>
        <v>Чоловік зустрічає дружину на вокзалі.</v>
      </c>
    </row>
    <row r="1690" ht="15.75" customHeight="1">
      <c r="A1690" s="1" t="s">
        <v>1657</v>
      </c>
      <c r="B1690" s="2" t="str">
        <f>IFERROR(__xludf.DUMMYFUNCTION("GOOGLETRANSLATE(A1690, ""de"", ""uk"")"),"Вибачте, я шукаю вокзал.")</f>
        <v>Вибачте, я шукаю вокзал.</v>
      </c>
    </row>
    <row r="1691" ht="15.75" customHeight="1">
      <c r="A1691" s="1" t="s">
        <v>1658</v>
      </c>
      <c r="B1691" s="2" t="str">
        <f>IFERROR(__xludf.DUMMYFUNCTION("GOOGLETRANSLATE(A1691, ""de"", ""uk"")"),"Де я можу знайти готель?")</f>
        <v>Де я можу знайти готель?</v>
      </c>
    </row>
    <row r="1692" ht="15.75" customHeight="1">
      <c r="A1692" s="1" t="s">
        <v>1659</v>
      </c>
      <c r="B1692" s="2" t="str">
        <f>IFERROR(__xludf.DUMMYFUNCTION("GOOGLETRANSLATE(A1692, ""de"", ""uk"")"),"Будь ласка, покажіть мені своє посвідчення особи.")</f>
        <v>Будь ласка, покажіть мені своє посвідчення особи.</v>
      </c>
    </row>
    <row r="1693" ht="15.75" customHeight="1">
      <c r="A1693" s="1" t="s">
        <v>1660</v>
      </c>
      <c r="B1693" s="2" t="str">
        <f>IFERROR(__xludf.DUMMYFUNCTION("GOOGLETRANSLATE(A1693, ""de"", ""uk"")"),"Жінка прощається з дитиною.")</f>
        <v>Жінка прощається з дитиною.</v>
      </c>
    </row>
    <row r="1694" ht="15.75" customHeight="1">
      <c r="A1694" s="1" t="s">
        <v>1661</v>
      </c>
      <c r="B1694" s="2" t="str">
        <f>IFERROR(__xludf.DUMMYFUNCTION("GOOGLETRANSLATE(A1694, ""de"", ""uk"")"),"Ви можете підключити мене до таксі?")</f>
        <v>Ви можете підключити мене до таксі?</v>
      </c>
    </row>
    <row r="1695" ht="15.75" customHeight="1">
      <c r="A1695" s="1" t="s">
        <v>1662</v>
      </c>
      <c r="B1695" s="2" t="str">
        <f>IFERROR(__xludf.DUMMYFUNCTION("GOOGLETRANSLATE(A1695, ""de"", ""uk"")"),"Маршрут пролягає повз костел.")</f>
        <v>Маршрут пролягає повз костел.</v>
      </c>
    </row>
    <row r="1696" ht="15.75" customHeight="1">
      <c r="A1696" s="1" t="s">
        <v>1663</v>
      </c>
      <c r="B1696" s="2" t="str">
        <f>IFERROR(__xludf.DUMMYFUNCTION("GOOGLETRANSLATE(A1696, ""de"", ""uk"")"),"ти йдеш зі мною?")</f>
        <v>ти йдеш зі мною?</v>
      </c>
    </row>
    <row r="1697" ht="15.75" customHeight="1">
      <c r="A1697" s="1" t="s">
        <v>1664</v>
      </c>
      <c r="B1697" s="2" t="str">
        <f>IFERROR(__xludf.DUMMYFUNCTION("GOOGLETRANSLATE(A1697, ""de"", ""uk"")"),"Вам потрібно пересісти в Дрездені.")</f>
        <v>Вам потрібно пересісти в Дрездені.</v>
      </c>
    </row>
    <row r="1698" ht="15.75" customHeight="1">
      <c r="A1698" s="1" t="s">
        <v>1665</v>
      </c>
      <c r="B1698" s="2" t="str">
        <f>IFERROR(__xludf.DUMMYFUNCTION("GOOGLETRANSLATE(A1698, ""de"", ""uk"")"),"Будь ласка, візьміть із собою квиток.")</f>
        <v>Будь ласка, візьміть із собою квиток.</v>
      </c>
    </row>
    <row r="1699" ht="15.75" customHeight="1">
      <c r="A1699" s="1" t="s">
        <v>1666</v>
      </c>
      <c r="B1699" s="2" t="str">
        <f>IFERROR(__xludf.DUMMYFUNCTION("GOOGLETRANSLATE(A1699, ""de"", ""uk"")"),"Я планую поїздку до Берліна.")</f>
        <v>Я планую поїздку до Берліна.</v>
      </c>
    </row>
    <row r="1700" ht="15.75" customHeight="1">
      <c r="A1700" s="1" t="s">
        <v>1667</v>
      </c>
      <c r="B1700" s="2" t="str">
        <f>IFERROR(__xludf.DUMMYFUNCTION("GOOGLETRANSLATE(A1700, ""de"", ""uk"")"),"Машини сигналять на світлофорі.")</f>
        <v>Машини сигналять на світлофорі.</v>
      </c>
    </row>
    <row r="1701" ht="15.75" customHeight="1">
      <c r="A1701" s="1" t="s">
        <v>1668</v>
      </c>
      <c r="B1701" s="2" t="str">
        <f>IFERROR(__xludf.DUMMYFUNCTION("GOOGLETRANSLATE(A1701, ""de"", ""uk"")"),"Ви повинні організувати свою поїздку.")</f>
        <v>Ви повинні організувати свою поїздку.</v>
      </c>
    </row>
    <row r="1702" ht="15.75" customHeight="1">
      <c r="A1702" s="1" t="s">
        <v>1669</v>
      </c>
      <c r="B1702" s="2" t="str">
        <f>IFERROR(__xludf.DUMMYFUNCTION("GOOGLETRANSLATE(A1702, ""de"", ""uk"")"),"Чоловік їде на два тижні.")</f>
        <v>Чоловік їде на два тижні.</v>
      </c>
    </row>
    <row r="1703" ht="15.75" customHeight="1">
      <c r="A1703" s="1" t="s">
        <v>1670</v>
      </c>
      <c r="B1703" s="2" t="str">
        <f>IFERROR(__xludf.DUMMYFUNCTION("GOOGLETRANSLATE(A1703, ""de"", ""uk"")"),"Коли ми прибудемо в Ганновер?")</f>
        <v>Коли ми прибудемо в Ганновер?</v>
      </c>
    </row>
    <row r="1704" ht="15.75" customHeight="1">
      <c r="A1704" s="1" t="s">
        <v>1671</v>
      </c>
      <c r="B1704" s="2" t="str">
        <f>IFERROR(__xludf.DUMMYFUNCTION("GOOGLETRANSLATE(A1704, ""de"", ""uk"")"),"Я хотів би зараз розпакувати свою валізу.")</f>
        <v>Я хотів би зараз розпакувати свою валізу.</v>
      </c>
    </row>
    <row r="1705" ht="15.75" customHeight="1">
      <c r="A1705" s="1" t="s">
        <v>1672</v>
      </c>
      <c r="B1705" s="2" t="str">
        <f>IFERROR(__xludf.DUMMYFUNCTION("GOOGLETRANSLATE(A1705, ""de"", ""uk"")"),"Ви дізналися про зв'язок?")</f>
        <v>Ви дізналися про зв'язок?</v>
      </c>
    </row>
    <row r="1706" ht="15.75" customHeight="1">
      <c r="A1706" s="1" t="s">
        <v>1673</v>
      </c>
      <c r="B1706" s="2" t="str">
        <f>IFERROR(__xludf.DUMMYFUNCTION("GOOGLETRANSLATE(A1706, ""de"", ""uk"")"),"Пакуємо валізи.")</f>
        <v>Пакуємо валізи.</v>
      </c>
    </row>
    <row r="1707" ht="15.75" customHeight="1">
      <c r="A1707" s="1" t="s">
        <v>1674</v>
      </c>
      <c r="B1707" s="2" t="str">
        <f>IFERROR(__xludf.DUMMYFUNCTION("GOOGLETRANSLATE(A1707, ""de"", ""uk"")"),"Автомобіль припаркований перед готелем.")</f>
        <v>Автомобіль припаркований перед готелем.</v>
      </c>
    </row>
    <row r="1708" ht="15.75" customHeight="1">
      <c r="A1708" s="1" t="s">
        <v>1675</v>
      </c>
      <c r="B1708" s="2" t="str">
        <f>IFERROR(__xludf.DUMMYFUNCTION("GOOGLETRANSLATE(A1708, ""de"", ""uk"")"),"Ми хочемо піти сьогодні.")</f>
        <v>Ми хочемо піти сьогодні.</v>
      </c>
    </row>
    <row r="1709" ht="15.75" customHeight="1">
      <c r="A1709" s="1" t="s">
        <v>1676</v>
      </c>
      <c r="B1709" s="2" t="str">
        <f>IFERROR(__xludf.DUMMYFUNCTION("GOOGLETRANSLATE(A1709, ""de"", ""uk"")"),"Я туди не піду.")</f>
        <v>Я туди не піду.</v>
      </c>
    </row>
    <row r="1710" ht="15.75" customHeight="1">
      <c r="A1710" s="1" t="s">
        <v>1677</v>
      </c>
      <c r="B1710" s="2" t="str">
        <f>IFERROR(__xludf.DUMMYFUNCTION("GOOGLETRANSLATE(A1710, ""de"", ""uk"")"),"Жінка відправляє дитину в супермаркет.")</f>
        <v>Жінка відправляє дитину в супермаркет.</v>
      </c>
    </row>
    <row r="1711" ht="15.75" customHeight="1">
      <c r="A1711" s="1" t="s">
        <v>1678</v>
      </c>
      <c r="B1711" s="2" t="str">
        <f>IFERROR(__xludf.DUMMYFUNCTION("GOOGLETRANSLATE(A1711, ""de"", ""uk"")"),"Чоловік і жінка розлучаються на вокзалі.")</f>
        <v>Чоловік і жінка розлучаються на вокзалі.</v>
      </c>
    </row>
    <row r="1712" ht="15.75" customHeight="1">
      <c r="A1712" s="1" t="s">
        <v>1679</v>
      </c>
      <c r="B1712" s="2" t="str">
        <f>IFERROR(__xludf.DUMMYFUNCTION("GOOGLETRANSLATE(A1712, ""de"", ""uk"")"),"Він ніколи не повернеться.")</f>
        <v>Він ніколи не повернеться.</v>
      </c>
    </row>
    <row r="1713" ht="15.75" customHeight="1">
      <c r="A1713" s="1" t="s">
        <v>1680</v>
      </c>
      <c r="B1713" s="2" t="str">
        <f>IFERROR(__xludf.DUMMYFUNCTION("GOOGLETRANSLATE(A1713, ""de"", ""uk"")"),"Сьогодні ми повертаємося.")</f>
        <v>Сьогодні ми повертаємося.</v>
      </c>
    </row>
    <row r="1714" ht="15.75" customHeight="1">
      <c r="A1714" s="1" t="s">
        <v>1681</v>
      </c>
      <c r="B1714" s="2" t="str">
        <f>IFERROR(__xludf.DUMMYFUNCTION("GOOGLETRANSLATE(A1714, ""de"", ""uk"")"),"Завтра бронюю відпустку в турфірмі.")</f>
        <v>Завтра бронюю відпустку в турфірмі.</v>
      </c>
    </row>
    <row r="1715" ht="15.75" customHeight="1">
      <c r="A1715" s="1" t="s">
        <v>1682</v>
      </c>
      <c r="B1715" s="2" t="str">
        <f>IFERROR(__xludf.DUMMYFUNCTION("GOOGLETRANSLATE(A1715, ""de"", ""uk"")"),"Вона хоче знову побачити свого чоловіка.")</f>
        <v>Вона хоче знову побачити свого чоловіка.</v>
      </c>
    </row>
    <row r="1716" ht="15.75" customHeight="1">
      <c r="A1716" s="1" t="s">
        <v>1683</v>
      </c>
      <c r="B1716" s="2" t="str">
        <f>IFERROR(__xludf.DUMMYFUNCTION("GOOGLETRANSLATE(A1716, ""de"", ""uk"")"),"Будь ласка, забронюйте одномісну кімнату.")</f>
        <v>Будь ласка, забронюйте одномісну кімнату.</v>
      </c>
    </row>
    <row r="1717" ht="15.75" customHeight="1">
      <c r="A1717" s="1" t="s">
        <v>1684</v>
      </c>
      <c r="B1717" s="2" t="str">
        <f>IFERROR(__xludf.DUMMYFUNCTION("GOOGLETRANSLATE(A1717, ""de"", ""uk"")"),"Квиток сьогодні не дійсний.")</f>
        <v>Квиток сьогодні не дійсний.</v>
      </c>
    </row>
    <row r="1718" ht="15.75" customHeight="1">
      <c r="A1718" s="1" t="s">
        <v>1685</v>
      </c>
      <c r="B1718" s="2" t="str">
        <f>IFERROR(__xludf.DUMMYFUNCTION("GOOGLETRANSLATE(A1718, ""de"", ""uk"")"),"Ми хотіли б покататися з вами.")</f>
        <v>Ми хотіли б покататися з вами.</v>
      </c>
    </row>
    <row r="1719" ht="15.75" customHeight="1">
      <c r="A1719" s="1" t="s">
        <v>1686</v>
      </c>
      <c r="B1719" s="2" t="str">
        <f>IFERROR(__xludf.DUMMYFUNCTION("GOOGLETRANSLATE(A1719, ""de"", ""uk"")"),"Сьогодні велика завантаженість.")</f>
        <v>Сьогодні велика завантаженість.</v>
      </c>
    </row>
    <row r="1720" ht="15.75" customHeight="1">
      <c r="A1720" s="1" t="s">
        <v>1687</v>
      </c>
      <c r="B1720" s="2" t="str">
        <f>IFERROR(__xludf.DUMMYFUNCTION("GOOGLETRANSLATE(A1720, ""de"", ""uk"")"),"Знак говорить, що паркуватися тут заборонено.")</f>
        <v>Знак говорить, що паркуватися тут заборонено.</v>
      </c>
    </row>
    <row r="1721" ht="15.75" customHeight="1">
      <c r="A1721" s="1" t="s">
        <v>1688</v>
      </c>
      <c r="B1721" s="2" t="str">
        <f>IFERROR(__xludf.DUMMYFUNCTION("GOOGLETRANSLATE(A1721, ""de"", ""uk"")"),"Світлофор червоний.")</f>
        <v>Світлофор червоний.</v>
      </c>
    </row>
    <row r="1722" ht="15.75" customHeight="1">
      <c r="A1722" s="1" t="s">
        <v>1689</v>
      </c>
      <c r="B1722" s="2" t="str">
        <f>IFERROR(__xludf.DUMMYFUNCTION("GOOGLETRANSLATE(A1722, ""de"", ""uk"")"),"Світлофор зелений і я проїжджаю перехрестя.")</f>
        <v>Світлофор зелений і я проїжджаю перехрестя.</v>
      </c>
    </row>
    <row r="1723" ht="15.75" customHeight="1">
      <c r="A1723" s="1" t="s">
        <v>1690</v>
      </c>
      <c r="B1723" s="2" t="str">
        <f>IFERROR(__xludf.DUMMYFUNCTION("GOOGLETRANSLATE(A1723, ""de"", ""uk"")"),"Велосипедист їде по дорозі.")</f>
        <v>Велосипедист їде по дорозі.</v>
      </c>
    </row>
    <row r="1724" ht="15.75" customHeight="1">
      <c r="A1724" s="1" t="s">
        <v>1691</v>
      </c>
      <c r="B1724" s="2" t="str">
        <f>IFERROR(__xludf.DUMMYFUNCTION("GOOGLETRANSLATE(A1724, ""de"", ""uk"")"),"Ви їдете швидше по шосе.")</f>
        <v>Ви їдете швидше по шосе.</v>
      </c>
    </row>
    <row r="1725" ht="15.75" customHeight="1">
      <c r="A1725" s="1" t="s">
        <v>1692</v>
      </c>
      <c r="B1725" s="2" t="str">
        <f>IFERROR(__xludf.DUMMYFUNCTION("GOOGLETRANSLATE(A1725, ""de"", ""uk"")"),"Треба йти через міст.")</f>
        <v>Треба йти через міст.</v>
      </c>
    </row>
    <row r="1726" ht="15.75" customHeight="1">
      <c r="A1726" s="1" t="s">
        <v>1693</v>
      </c>
      <c r="B1726" s="2" t="str">
        <f>IFERROR(__xludf.DUMMYFUNCTION("GOOGLETRANSLATE(A1726, ""de"", ""uk"")"),"Зараз ми їдемо тунелем.")</f>
        <v>Зараз ми їдемо тунелем.</v>
      </c>
    </row>
    <row r="1727" ht="15.75" customHeight="1">
      <c r="A1727" s="1" t="s">
        <v>1694</v>
      </c>
      <c r="B1727" s="2" t="str">
        <f>IFERROR(__xludf.DUMMYFUNCTION("GOOGLETRANSLATE(A1727, ""de"", ""uk"")"),"Чекаємо на заправці.")</f>
        <v>Чекаємо на заправці.</v>
      </c>
    </row>
    <row r="1728" ht="15.75" customHeight="1">
      <c r="A1728" s="1" t="s">
        <v>1695</v>
      </c>
      <c r="B1728" s="2" t="str">
        <f>IFERROR(__xludf.DUMMYFUNCTION("GOOGLETRANSLATE(A1728, ""de"", ""uk"")"),"На трасі сталася аварія.")</f>
        <v>На трасі сталася аварія.</v>
      </c>
    </row>
    <row r="1729" ht="15.75" customHeight="1">
      <c r="A1729" s="1" t="s">
        <v>1696</v>
      </c>
      <c r="B1729" s="2" t="str">
        <f>IFERROR(__xludf.DUMMYFUNCTION("GOOGLETRANSLATE(A1729, ""de"", ""uk"")"),"Нажаль не маю водійського посвідчення.")</f>
        <v>Нажаль не маю водійського посвідчення.</v>
      </c>
    </row>
    <row r="1730" ht="15.75" customHeight="1">
      <c r="A1730" s="1" t="s">
        <v>1697</v>
      </c>
      <c r="B1730" s="2" t="str">
        <f>IFERROR(__xludf.DUMMYFUNCTION("GOOGLETRANSLATE(A1730, ""de"", ""uk"")"),"Я довго їхав.")</f>
        <v>Я довго їхав.</v>
      </c>
    </row>
    <row r="1731" ht="15.75" customHeight="1">
      <c r="A1731" s="1" t="s">
        <v>1698</v>
      </c>
      <c r="B1731" s="2" t="str">
        <f>IFERROR(__xludf.DUMMYFUNCTION("GOOGLETRANSLATE(A1731, ""de"", ""uk"")"),"туалет")</f>
        <v>туалет</v>
      </c>
    </row>
    <row r="1732" ht="15.75" customHeight="1">
      <c r="A1732" s="1" t="s">
        <v>1699</v>
      </c>
      <c r="B1732" s="2" t="str">
        <f>IFERROR(__xludf.DUMMYFUNCTION("GOOGLETRANSLATE(A1732, ""de"", ""uk"")"),"туалетний папір")</f>
        <v>туалетний папір</v>
      </c>
    </row>
    <row r="1733" ht="15.75" customHeight="1">
      <c r="A1733" s="1" t="s">
        <v>1700</v>
      </c>
      <c r="B1733" s="2" t="str">
        <f>IFERROR(__xludf.DUMMYFUNCTION("GOOGLETRANSLATE(A1733, ""de"", ""uk"")"),"меблі")</f>
        <v>меблі</v>
      </c>
    </row>
    <row r="1734" ht="15.75" customHeight="1">
      <c r="A1734" s="1" t="s">
        <v>1701</v>
      </c>
      <c r="B1734" s="2" t="str">
        <f>IFERROR(__xludf.DUMMYFUNCTION("GOOGLETRANSLATE(A1734, ""de"", ""uk"")"),"ліжко")</f>
        <v>ліжко</v>
      </c>
    </row>
    <row r="1735" ht="15.75" customHeight="1">
      <c r="A1735" s="1" t="s">
        <v>1702</v>
      </c>
      <c r="B1735" s="2" t="str">
        <f>IFERROR(__xludf.DUMMYFUNCTION("GOOGLETRANSLATE(A1735, ""de"", ""uk"")"),"шафа")</f>
        <v>шафа</v>
      </c>
    </row>
    <row r="1736" ht="15.75" customHeight="1">
      <c r="A1736" s="1" t="s">
        <v>1703</v>
      </c>
      <c r="B1736" s="2" t="str">
        <f>IFERROR(__xludf.DUMMYFUNCTION("GOOGLETRANSLATE(A1736, ""de"", ""uk"")"),"полиця")</f>
        <v>полиця</v>
      </c>
    </row>
    <row r="1737" ht="15.75" customHeight="1">
      <c r="A1737" s="1" t="s">
        <v>1704</v>
      </c>
      <c r="B1737" s="2" t="str">
        <f>IFERROR(__xludf.DUMMYFUNCTION("GOOGLETRANSLATE(A1737, ""de"", ""uk"")"),"стіл")</f>
        <v>стіл</v>
      </c>
    </row>
    <row r="1738" ht="15.75" customHeight="1">
      <c r="A1738" s="1" t="s">
        <v>1705</v>
      </c>
      <c r="B1738" s="2" t="str">
        <f>IFERROR(__xludf.DUMMYFUNCTION("GOOGLETRANSLATE(A1738, ""de"", ""uk"")"),"стілець")</f>
        <v>стілець</v>
      </c>
    </row>
    <row r="1739" ht="15.75" customHeight="1">
      <c r="A1739" s="1" t="s">
        <v>612</v>
      </c>
      <c r="B1739" s="2" t="str">
        <f>IFERROR(__xludf.DUMMYFUNCTION("GOOGLETRANSLATE(A1739, ""de"", ""uk"")"),"банку")</f>
        <v>банку</v>
      </c>
    </row>
    <row r="1740" ht="15.75" customHeight="1">
      <c r="A1740" s="1" t="s">
        <v>1706</v>
      </c>
      <c r="B1740" s="2" t="str">
        <f>IFERROR(__xludf.DUMMYFUNCTION("GOOGLETRANSLATE(A1740, ""de"", ""uk"")"),"крісло")</f>
        <v>крісло</v>
      </c>
    </row>
    <row r="1741" ht="15.75" customHeight="1">
      <c r="A1741" s="1" t="s">
        <v>1707</v>
      </c>
      <c r="B1741" s="2" t="str">
        <f>IFERROR(__xludf.DUMMYFUNCTION("GOOGLETRANSLATE(A1741, ""de"", ""uk"")"),"диван")</f>
        <v>диван</v>
      </c>
    </row>
    <row r="1742" ht="15.75" customHeight="1">
      <c r="A1742" s="1" t="s">
        <v>1708</v>
      </c>
      <c r="B1742" s="2" t="str">
        <f>IFERROR(__xludf.DUMMYFUNCTION("GOOGLETRANSLATE(A1742, ""de"", ""uk"")"),"лампа")</f>
        <v>лампа</v>
      </c>
    </row>
    <row r="1743" ht="15.75" customHeight="1">
      <c r="A1743" s="1" t="s">
        <v>1709</v>
      </c>
      <c r="B1743" s="2" t="str">
        <f>IFERROR(__xludf.DUMMYFUNCTION("GOOGLETRANSLATE(A1743, ""de"", ""uk"")"),"килим")</f>
        <v>килим</v>
      </c>
    </row>
    <row r="1744" ht="15.75" customHeight="1">
      <c r="A1744" s="1" t="s">
        <v>1710</v>
      </c>
      <c r="B1744" s="2" t="str">
        <f>IFERROR(__xludf.DUMMYFUNCTION("GOOGLETRANSLATE(A1744, ""de"", ""uk"")"),"зображення")</f>
        <v>зображення</v>
      </c>
    </row>
    <row r="1745" ht="15.75" customHeight="1">
      <c r="A1745" s="1" t="s">
        <v>1711</v>
      </c>
      <c r="B1745" s="2" t="str">
        <f>IFERROR(__xludf.DUMMYFUNCTION("GOOGLETRANSLATE(A1745, ""de"", ""uk"")"),"ключ")</f>
        <v>ключ</v>
      </c>
    </row>
    <row r="1746" ht="15.75" customHeight="1">
      <c r="A1746" s="1" t="s">
        <v>1712</v>
      </c>
      <c r="B1746" s="2" t="str">
        <f>IFERROR(__xludf.DUMMYFUNCTION("GOOGLETRANSLATE(A1746, ""de"", ""uk"")"),"посудомийна машина")</f>
        <v>посудомийна машина</v>
      </c>
    </row>
    <row r="1747" ht="15.75" customHeight="1">
      <c r="A1747" s="1" t="s">
        <v>1713</v>
      </c>
      <c r="B1747" s="2" t="str">
        <f>IFERROR(__xludf.DUMMYFUNCTION("GOOGLETRANSLATE(A1747, ""de"", ""uk"")"),"холодильник")</f>
        <v>холодильник</v>
      </c>
    </row>
    <row r="1748" ht="15.75" customHeight="1">
      <c r="A1748" s="1" t="s">
        <v>1714</v>
      </c>
      <c r="B1748" s="2" t="str">
        <f>IFERROR(__xludf.DUMMYFUNCTION("GOOGLETRANSLATE(A1748, ""de"", ""uk"")"),"фото")</f>
        <v>фото</v>
      </c>
    </row>
    <row r="1749" ht="15.75" customHeight="1">
      <c r="A1749" s="1" t="s">
        <v>1715</v>
      </c>
      <c r="B1749" s="2" t="str">
        <f>IFERROR(__xludf.DUMMYFUNCTION("GOOGLETRANSLATE(A1749, ""de"", ""uk"")"),"коробка")</f>
        <v>коробка</v>
      </c>
    </row>
    <row r="1750" ht="15.75" customHeight="1">
      <c r="A1750" s="1" t="s">
        <v>1716</v>
      </c>
      <c r="B1750" s="2" t="str">
        <f>IFERROR(__xludf.DUMMYFUNCTION("GOOGLETRANSLATE(A1750, ""de"", ""uk"")"),"свічка")</f>
        <v>свічка</v>
      </c>
    </row>
    <row r="1751" ht="15.75" customHeight="1">
      <c r="A1751" s="1" t="s">
        <v>1717</v>
      </c>
      <c r="B1751" s="2" t="str">
        <f>IFERROR(__xludf.DUMMYFUNCTION("GOOGLETRANSLATE(A1751, ""de"", ""uk"")"),"пральня")</f>
        <v>пральня</v>
      </c>
    </row>
    <row r="1752" ht="15.75" customHeight="1">
      <c r="A1752" s="1" t="s">
        <v>1718</v>
      </c>
      <c r="B1752" s="2" t="str">
        <f>IFERROR(__xludf.DUMMYFUNCTION("GOOGLETRANSLATE(A1752, ""de"", ""uk"")"),"роздягтися")</f>
        <v>роздягтися</v>
      </c>
    </row>
    <row r="1753" ht="15.75" customHeight="1">
      <c r="A1753" s="1" t="s">
        <v>1719</v>
      </c>
      <c r="B1753" s="2" t="str">
        <f>IFERROR(__xludf.DUMMYFUNCTION("GOOGLETRANSLATE(A1753, ""de"", ""uk"")"),"заїхати")</f>
        <v>заїхати</v>
      </c>
    </row>
    <row r="1754" ht="15.75" customHeight="1">
      <c r="A1754" s="1" t="s">
        <v>1720</v>
      </c>
      <c r="B1754" s="2" t="str">
        <f>IFERROR(__xludf.DUMMYFUNCTION("GOOGLETRANSLATE(A1754, ""de"", ""uk"")"),"міра")</f>
        <v>міра</v>
      </c>
    </row>
    <row r="1755" ht="15.75" customHeight="1">
      <c r="A1755" s="1" t="s">
        <v>1721</v>
      </c>
      <c r="B1755" s="2" t="str">
        <f>IFERROR(__xludf.DUMMYFUNCTION("GOOGLETRANSLATE(A1755, ""de"", ""uk"")"),"включити")</f>
        <v>включити</v>
      </c>
    </row>
    <row r="1756" ht="15.75" customHeight="1">
      <c r="A1756" s="1" t="s">
        <v>1722</v>
      </c>
      <c r="B1756" s="2" t="str">
        <f>IFERROR(__xludf.DUMMYFUNCTION("GOOGLETRANSLATE(A1756, ""de"", ""uk"")"),"вимкнути")</f>
        <v>вимкнути</v>
      </c>
    </row>
    <row r="1757" ht="15.75" customHeight="1">
      <c r="A1757" s="1" t="s">
        <v>1723</v>
      </c>
      <c r="B1757" s="2" t="str">
        <f>IFERROR(__xludf.DUMMYFUNCTION("GOOGLETRANSLATE(A1757, ""de"", ""uk"")"),"відкритися")</f>
        <v>відкритися</v>
      </c>
    </row>
    <row r="1758" ht="15.75" customHeight="1">
      <c r="A1758" s="1" t="s">
        <v>1724</v>
      </c>
      <c r="B1758" s="2" t="str">
        <f>IFERROR(__xludf.DUMMYFUNCTION("GOOGLETRANSLATE(A1758, ""de"", ""uk"")"),"закрити")</f>
        <v>закрити</v>
      </c>
    </row>
    <row r="1759" ht="15.75" customHeight="1">
      <c r="A1759" s="1" t="s">
        <v>1725</v>
      </c>
      <c r="B1759" s="2" t="str">
        <f>IFERROR(__xludf.DUMMYFUNCTION("GOOGLETRANSLATE(A1759, ""de"", ""uk"")"),"преса")</f>
        <v>преса</v>
      </c>
    </row>
    <row r="1760" ht="15.75" customHeight="1">
      <c r="A1760" s="1" t="s">
        <v>1726</v>
      </c>
      <c r="B1760" s="2" t="str">
        <f>IFERROR(__xludf.DUMMYFUNCTION("GOOGLETRANSLATE(A1760, ""de"", ""uk"")"),"утримувати")</f>
        <v>утримувати</v>
      </c>
    </row>
    <row r="1761" ht="15.75" customHeight="1">
      <c r="A1761" s="1" t="s">
        <v>1727</v>
      </c>
      <c r="B1761" s="2" t="str">
        <f>IFERROR(__xludf.DUMMYFUNCTION("GOOGLETRANSLATE(A1761, ""de"", ""uk"")"),"повісити")</f>
        <v>повісити</v>
      </c>
    </row>
    <row r="1762" ht="15.75" customHeight="1">
      <c r="A1762" s="1" t="s">
        <v>1728</v>
      </c>
      <c r="B1762" s="2" t="str">
        <f>IFERROR(__xludf.DUMMYFUNCTION("GOOGLETRANSLATE(A1762, ""de"", ""uk"")"),"стукати")</f>
        <v>стукати</v>
      </c>
    </row>
    <row r="1763" ht="15.75" customHeight="1">
      <c r="A1763" s="1" t="s">
        <v>1729</v>
      </c>
      <c r="B1763" s="2" t="str">
        <f>IFERROR(__xludf.DUMMYFUNCTION("GOOGLETRANSLATE(A1763, ""de"", ""uk"")"),"місце")</f>
        <v>місце</v>
      </c>
    </row>
    <row r="1764" ht="15.75" customHeight="1">
      <c r="A1764" s="1" t="s">
        <v>1730</v>
      </c>
      <c r="B1764" s="2" t="str">
        <f>IFERROR(__xludf.DUMMYFUNCTION("GOOGLETRANSLATE(A1764, ""de"", ""uk"")"),"лежати")</f>
        <v>лежати</v>
      </c>
    </row>
    <row r="1765" ht="15.75" customHeight="1">
      <c r="A1765" s="1" t="s">
        <v>1731</v>
      </c>
      <c r="B1765" s="2" t="str">
        <f>IFERROR(__xludf.DUMMYFUNCTION("GOOGLETRANSLATE(A1765, ""de"", ""uk"")"),"очищення")</f>
        <v>очищення</v>
      </c>
    </row>
    <row r="1766" ht="15.75" customHeight="1">
      <c r="A1766" s="1" t="s">
        <v>1732</v>
      </c>
      <c r="B1766" s="2" t="str">
        <f>IFERROR(__xludf.DUMMYFUNCTION("GOOGLETRANSLATE(A1766, ""de"", ""uk"")"),"ремонт")</f>
        <v>ремонт</v>
      </c>
    </row>
    <row r="1767" ht="15.75" customHeight="1">
      <c r="A1767" s="1" t="s">
        <v>1733</v>
      </c>
      <c r="B1767" s="2" t="str">
        <f>IFERROR(__xludf.DUMMYFUNCTION("GOOGLETRANSLATE(A1767, ""de"", ""uk"")"),"місце")</f>
        <v>місце</v>
      </c>
    </row>
    <row r="1768" ht="15.75" customHeight="1">
      <c r="A1768" s="1" t="s">
        <v>1734</v>
      </c>
      <c r="B1768" s="2" t="str">
        <f>IFERROR(__xludf.DUMMYFUNCTION("GOOGLETRANSLATE(A1768, ""de"", ""uk"")"),"штовхати")</f>
        <v>штовхати</v>
      </c>
    </row>
    <row r="1769" ht="15.75" customHeight="1">
      <c r="A1769" s="1" t="s">
        <v>1735</v>
      </c>
      <c r="B1769" s="2" t="str">
        <f>IFERROR(__xludf.DUMMYFUNCTION("GOOGLETRANSLATE(A1769, ""de"", ""uk"")"),"тягнути")</f>
        <v>тягнути</v>
      </c>
    </row>
    <row r="1770" ht="15.75" customHeight="1">
      <c r="A1770" s="1" t="s">
        <v>1736</v>
      </c>
      <c r="B1770" s="2" t="str">
        <f>IFERROR(__xludf.DUMMYFUNCTION("GOOGLETRANSLATE(A1770, ""de"", ""uk"")"),"втратити")</f>
        <v>втратити</v>
      </c>
    </row>
    <row r="1771" ht="15.75" customHeight="1">
      <c r="A1771" s="1" t="s">
        <v>1737</v>
      </c>
      <c r="B1771" s="2" t="str">
        <f>IFERROR(__xludf.DUMMYFUNCTION("GOOGLETRANSLATE(A1771, ""de"", ""uk"")"),"міс")</f>
        <v>міс</v>
      </c>
    </row>
    <row r="1772" ht="15.75" customHeight="1">
      <c r="A1772" s="1" t="s">
        <v>1738</v>
      </c>
      <c r="B1772" s="2" t="str">
        <f>IFERROR(__xludf.DUMMYFUNCTION("GOOGLETRANSLATE(A1772, ""de"", ""uk"")"),"функція")</f>
        <v>функція</v>
      </c>
    </row>
    <row r="1773" ht="15.75" customHeight="1">
      <c r="A1773" s="1" t="s">
        <v>1739</v>
      </c>
      <c r="B1773" s="2" t="str">
        <f>IFERROR(__xludf.DUMMYFUNCTION("GOOGLETRANSLATE(A1773, ""de"", ""uk"")"),"падіння")</f>
        <v>падіння</v>
      </c>
    </row>
    <row r="1774" ht="15.75" customHeight="1">
      <c r="A1774" s="1" t="s">
        <v>1740</v>
      </c>
      <c r="B1774" s="2" t="str">
        <f>IFERROR(__xludf.DUMMYFUNCTION("GOOGLETRANSLATE(A1774, ""de"", ""uk"")"),"влаштовувати")</f>
        <v>влаштовувати</v>
      </c>
    </row>
    <row r="1775" ht="15.75" customHeight="1">
      <c r="A1775" s="1" t="s">
        <v>1741</v>
      </c>
      <c r="B1775" s="2" t="str">
        <f>IFERROR(__xludf.DUMMYFUNCTION("GOOGLETRANSLATE(A1775, ""de"", ""uk"")"),"підніматися")</f>
        <v>підніматися</v>
      </c>
    </row>
    <row r="1776" ht="15.75" customHeight="1">
      <c r="A1776" s="1" t="s">
        <v>1742</v>
      </c>
      <c r="B1776" s="2" t="str">
        <f>IFERROR(__xludf.DUMMYFUNCTION("GOOGLETRANSLATE(A1776, ""de"", ""uk"")"),"змити")</f>
        <v>змити</v>
      </c>
    </row>
    <row r="1777" ht="15.75" customHeight="1">
      <c r="A1777" s="1" t="s">
        <v>1743</v>
      </c>
      <c r="B1777" s="2" t="str">
        <f>IFERROR(__xludf.DUMMYFUNCTION("GOOGLETRANSLATE(A1777, ""de"", ""uk"")"),"кільце")</f>
        <v>кільце</v>
      </c>
    </row>
    <row r="1778" ht="15.75" customHeight="1">
      <c r="A1778" s="1" t="s">
        <v>1744</v>
      </c>
      <c r="B1778" s="2" t="str">
        <f>IFERROR(__xludf.DUMMYFUNCTION("GOOGLETRANSLATE(A1778, ""de"", ""uk"")"),"орендна плата")</f>
        <v>орендна плата</v>
      </c>
    </row>
    <row r="1779" ht="15.75" customHeight="1">
      <c r="A1779" s="1" t="s">
        <v>1745</v>
      </c>
      <c r="B1779" s="2" t="str">
        <f>IFERROR(__xludf.DUMMYFUNCTION("GOOGLETRANSLATE(A1779, ""de"", ""uk"")"),"забрати")</f>
        <v>забрати</v>
      </c>
    </row>
    <row r="1780" ht="15.75" customHeight="1">
      <c r="A1780" s="1" t="s">
        <v>1746</v>
      </c>
      <c r="B1780" s="2" t="str">
        <f>IFERROR(__xludf.DUMMYFUNCTION("GOOGLETRANSLATE(A1780, ""de"", ""uk"")"),"рухатися")</f>
        <v>рухатися</v>
      </c>
    </row>
    <row r="1781" ht="15.75" customHeight="1">
      <c r="A1781" s="1" t="s">
        <v>1747</v>
      </c>
      <c r="B1781" s="2" t="str">
        <f>IFERROR(__xludf.DUMMYFUNCTION("GOOGLETRANSLATE(A1781, ""de"", ""uk"")"),"повний")</f>
        <v>повний</v>
      </c>
    </row>
    <row r="1782" ht="15.75" customHeight="1">
      <c r="A1782" s="1" t="s">
        <v>1748</v>
      </c>
      <c r="B1782" s="2" t="str">
        <f>IFERROR(__xludf.DUMMYFUNCTION("GOOGLETRANSLATE(A1782, ""de"", ""uk"")"),"використовувати")</f>
        <v>використовувати</v>
      </c>
    </row>
    <row r="1783" ht="15.75" customHeight="1">
      <c r="A1783" s="1" t="s">
        <v>1749</v>
      </c>
      <c r="B1783" s="2" t="str">
        <f>IFERROR(__xludf.DUMMYFUNCTION("GOOGLETRANSLATE(A1783, ""de"", ""uk"")"),"чистий")</f>
        <v>чистий</v>
      </c>
    </row>
    <row r="1784" ht="15.75" customHeight="1">
      <c r="A1784" s="1" t="s">
        <v>1750</v>
      </c>
      <c r="B1784" s="2" t="str">
        <f>IFERROR(__xludf.DUMMYFUNCTION("GOOGLETRANSLATE(A1784, ""de"", ""uk"")"),"орендна плата")</f>
        <v>орендна плата</v>
      </c>
    </row>
    <row r="1785" ht="15.75" customHeight="1">
      <c r="A1785" s="1" t="s">
        <v>1751</v>
      </c>
      <c r="B1785" s="2" t="str">
        <f>IFERROR(__xludf.DUMMYFUNCTION("GOOGLETRANSLATE(A1785, ""de"", ""uk"")"),"змінити")</f>
        <v>змінити</v>
      </c>
    </row>
    <row r="1786" ht="15.75" customHeight="1">
      <c r="A1786" s="1" t="s">
        <v>1752</v>
      </c>
      <c r="B1786" s="2" t="str">
        <f>IFERROR(__xludf.DUMMYFUNCTION("GOOGLETRANSLATE(A1786, ""de"", ""uk"")"),"зберегти")</f>
        <v>зберегти</v>
      </c>
    </row>
    <row r="1787" ht="15.75" customHeight="1">
      <c r="A1787" s="1" t="s">
        <v>1753</v>
      </c>
      <c r="B1787" s="2" t="str">
        <f>IFERROR(__xludf.DUMMYFUNCTION("GOOGLETRANSLATE(A1787, ""de"", ""uk"")"),"сухий")</f>
        <v>сухий</v>
      </c>
    </row>
    <row r="1788" ht="15.75" customHeight="1">
      <c r="A1788" s="1" t="s">
        <v>17</v>
      </c>
      <c r="B1788" s="2" t="str">
        <f>IFERROR(__xludf.DUMMYFUNCTION("GOOGLETRANSLATE(A1788, ""de"", ""uk"")"),"проживати")</f>
        <v>проживати</v>
      </c>
    </row>
    <row r="1789" ht="15.75" customHeight="1">
      <c r="A1789" s="1" t="s">
        <v>1754</v>
      </c>
      <c r="B1789" s="2" t="str">
        <f>IFERROR(__xludf.DUMMYFUNCTION("GOOGLETRANSLATE(A1789, ""de"", ""uk"")"),"мити")</f>
        <v>мити</v>
      </c>
    </row>
    <row r="1790" ht="15.75" customHeight="1">
      <c r="A1790" s="1" t="s">
        <v>1755</v>
      </c>
      <c r="B1790" s="2" t="str">
        <f>IFERROR(__xludf.DUMMYFUNCTION("GOOGLETRANSLATE(A1790, ""de"", ""uk"")"),"ремонтувати")</f>
        <v>ремонтувати</v>
      </c>
    </row>
    <row r="1791" ht="15.75" customHeight="1">
      <c r="A1791" s="1" t="s">
        <v>1756</v>
      </c>
      <c r="B1791" s="2" t="str">
        <f>IFERROR(__xludf.DUMMYFUNCTION("GOOGLETRANSLATE(A1791, ""de"", ""uk"")"),"ширина")</f>
        <v>ширина</v>
      </c>
    </row>
    <row r="1792" ht="15.75" customHeight="1">
      <c r="A1792" s="1" t="s">
        <v>1757</v>
      </c>
      <c r="B1792" s="2" t="str">
        <f>IFERROR(__xludf.DUMMYFUNCTION("GOOGLETRANSLATE(A1792, ""de"", ""uk"")"),"висота")</f>
        <v>висота</v>
      </c>
    </row>
    <row r="1793" ht="15.75" customHeight="1">
      <c r="A1793" s="1" t="s">
        <v>1758</v>
      </c>
      <c r="B1793" s="2" t="str">
        <f>IFERROR(__xludf.DUMMYFUNCTION("GOOGLETRANSLATE(A1793, ""de"", ""uk"")"),"глибина")</f>
        <v>глибина</v>
      </c>
    </row>
    <row r="1794" ht="15.75" customHeight="1">
      <c r="A1794" s="1" t="s">
        <v>1759</v>
      </c>
      <c r="B1794" s="2" t="str">
        <f>IFERROR(__xludf.DUMMYFUNCTION("GOOGLETRANSLATE(A1794, ""de"", ""uk"")"),"довжина")</f>
        <v>довжина</v>
      </c>
    </row>
    <row r="1795" ht="15.75" customHeight="1">
      <c r="A1795" s="1" t="s">
        <v>1760</v>
      </c>
      <c r="B1795" s="2" t="str">
        <f>IFERROR(__xludf.DUMMYFUNCTION("GOOGLETRANSLATE(A1795, ""de"", ""uk"")"),"сантиметр")</f>
        <v>сантиметр</v>
      </c>
    </row>
    <row r="1796" ht="15.75" customHeight="1">
      <c r="A1796" s="1" t="s">
        <v>1761</v>
      </c>
      <c r="B1796" s="2" t="str">
        <f>IFERROR(__xludf.DUMMYFUNCTION("GOOGLETRANSLATE(A1796, ""de"", ""uk"")"),"лічильник")</f>
        <v>лічильник</v>
      </c>
    </row>
    <row r="1797" ht="15.75" customHeight="1">
      <c r="A1797" s="1" t="s">
        <v>1762</v>
      </c>
      <c r="B1797" s="2" t="str">
        <f>IFERROR(__xludf.DUMMYFUNCTION("GOOGLETRANSLATE(A1797, ""de"", ""uk"")"),"квадратний метр")</f>
        <v>квадратний метр</v>
      </c>
    </row>
    <row r="1798" ht="15.75" customHeight="1">
      <c r="A1798" s="1" t="s">
        <v>1763</v>
      </c>
      <c r="B1798" s="2" t="str">
        <f>IFERROR(__xludf.DUMMYFUNCTION("GOOGLETRANSLATE(A1798, ""de"", ""uk"")"),"кілометр")</f>
        <v>кілометр</v>
      </c>
    </row>
    <row r="1799" ht="15.75" customHeight="1">
      <c r="A1799" s="1" t="s">
        <v>1764</v>
      </c>
      <c r="B1799" s="2" t="str">
        <f>IFERROR(__xludf.DUMMYFUNCTION("GOOGLETRANSLATE(A1799, ""de"", ""uk"")"),"вага")</f>
        <v>вага</v>
      </c>
    </row>
    <row r="1800" ht="15.75" customHeight="1">
      <c r="A1800" s="1" t="s">
        <v>544</v>
      </c>
      <c r="B1800" s="2" t="str">
        <f>IFERROR(__xludf.DUMMYFUNCTION("GOOGLETRANSLATE(A1800, ""de"", ""uk"")"),"грам")</f>
        <v>грам</v>
      </c>
    </row>
    <row r="1801" ht="15.75" customHeight="1">
      <c r="A1801" s="1" t="s">
        <v>545</v>
      </c>
      <c r="B1801" s="2" t="str">
        <f>IFERROR(__xludf.DUMMYFUNCTION("GOOGLETRANSLATE(A1801, ""de"", ""uk"")"),"фунт")</f>
        <v>фунт</v>
      </c>
    </row>
    <row r="1802" ht="15.75" customHeight="1">
      <c r="A1802" s="1" t="s">
        <v>546</v>
      </c>
      <c r="B1802" s="2" t="str">
        <f>IFERROR(__xludf.DUMMYFUNCTION("GOOGLETRANSLATE(A1802, ""de"", ""uk"")"),"кілограм")</f>
        <v>кілограм</v>
      </c>
    </row>
    <row r="1803" ht="15.75" customHeight="1">
      <c r="A1803" s="1" t="s">
        <v>547</v>
      </c>
      <c r="B1803" s="2" t="str">
        <f>IFERROR(__xludf.DUMMYFUNCTION("GOOGLETRANSLATE(A1803, ""de"", ""uk"")"),"градусів Цельсія")</f>
        <v>градусів Цельсія</v>
      </c>
    </row>
    <row r="1804" ht="15.75" customHeight="1">
      <c r="A1804" s="1" t="s">
        <v>548</v>
      </c>
      <c r="B1804" s="2" t="str">
        <f>IFERROR(__xludf.DUMMYFUNCTION("GOOGLETRANSLATE(A1804, ""de"", ""uk"")"),"мілілітр")</f>
        <v>мілілітр</v>
      </c>
    </row>
    <row r="1805" ht="15.75" customHeight="1">
      <c r="A1805" s="1" t="s">
        <v>549</v>
      </c>
      <c r="B1805" s="2" t="str">
        <f>IFERROR(__xludf.DUMMYFUNCTION("GOOGLETRANSLATE(A1805, ""de"", ""uk"")"),"літр")</f>
        <v>літр</v>
      </c>
    </row>
    <row r="1806" ht="15.75" customHeight="1">
      <c r="A1806" s="1" t="s">
        <v>550</v>
      </c>
      <c r="B1806" s="2" t="str">
        <f>IFERROR(__xludf.DUMMYFUNCTION("GOOGLETRANSLATE(A1806, ""de"", ""uk"")"),"півлітра")</f>
        <v>півлітра</v>
      </c>
    </row>
    <row r="1807" ht="15.75" customHeight="1">
      <c r="A1807" s="1" t="s">
        <v>1765</v>
      </c>
      <c r="B1807" s="2" t="str">
        <f>IFERROR(__xludf.DUMMYFUNCTION("GOOGLETRANSLATE(A1807, ""de"", ""uk"")"),"міра")</f>
        <v>міра</v>
      </c>
    </row>
    <row r="1808" ht="15.75" customHeight="1">
      <c r="A1808" s="1" t="s">
        <v>1766</v>
      </c>
      <c r="B1808" s="2" t="str">
        <f>IFERROR(__xludf.DUMMYFUNCTION("GOOGLETRANSLATE(A1808, ""de"", ""uk"")"),"пластина")</f>
        <v>пластина</v>
      </c>
    </row>
    <row r="1809" ht="15.75" customHeight="1">
      <c r="A1809" s="1" t="s">
        <v>1767</v>
      </c>
      <c r="B1809" s="2" t="str">
        <f>IFERROR(__xludf.DUMMYFUNCTION("GOOGLETRANSLATE(A1809, ""de"", ""uk"")"),"порядок")</f>
        <v>порядок</v>
      </c>
    </row>
    <row r="1810" ht="15.75" customHeight="1">
      <c r="A1810" s="1" t="s">
        <v>1768</v>
      </c>
      <c r="B1810" s="2" t="str">
        <f>IFERROR(__xludf.DUMMYFUNCTION("GOOGLETRANSLATE(A1810, ""de"", ""uk"")"),"розлад")</f>
        <v>розлад</v>
      </c>
    </row>
    <row r="1811" ht="15.75" customHeight="1">
      <c r="A1811" s="1" t="s">
        <v>1769</v>
      </c>
      <c r="B1811" s="2" t="str">
        <f>IFERROR(__xludf.DUMMYFUNCTION("GOOGLETRANSLATE(A1811, ""de"", ""uk"")"),"потік")</f>
        <v>потік</v>
      </c>
    </row>
    <row r="1812" ht="15.75" customHeight="1">
      <c r="A1812" s="1" t="s">
        <v>1770</v>
      </c>
      <c r="B1812" s="2" t="str">
        <f>IFERROR(__xludf.DUMMYFUNCTION("GOOGLETRANSLATE(A1812, ""de"", ""uk"")"),"сусід")</f>
        <v>сусід</v>
      </c>
    </row>
    <row r="1813" ht="15.75" customHeight="1">
      <c r="A1813" s="1" t="s">
        <v>1771</v>
      </c>
      <c r="B1813" s="2" t="str">
        <f>IFERROR(__xludf.DUMMYFUNCTION("GOOGLETRANSLATE(A1813, ""de"", ""uk"")"),"об'єкт")</f>
        <v>об'єкт</v>
      </c>
    </row>
    <row r="1814" ht="15.75" customHeight="1">
      <c r="A1814" s="1" t="s">
        <v>1772</v>
      </c>
      <c r="B1814" s="2" t="str">
        <f>IFERROR(__xludf.DUMMYFUNCTION("GOOGLETRANSLATE(A1814, ""de"", ""uk"")"),"хазяїн/хазяйка")</f>
        <v>хазяїн/хазяйка</v>
      </c>
    </row>
    <row r="1815" ht="15.75" customHeight="1">
      <c r="A1815" s="1" t="s">
        <v>1773</v>
      </c>
      <c r="B1815" s="2" t="str">
        <f>IFERROR(__xludf.DUMMYFUNCTION("GOOGLETRANSLATE(A1815, ""de"", ""uk"")"),"поточний рахунок")</f>
        <v>поточний рахунок</v>
      </c>
    </row>
    <row r="1816" ht="15.75" customHeight="1">
      <c r="A1816" s="1" t="s">
        <v>1774</v>
      </c>
      <c r="B1816" s="2" t="str">
        <f>IFERROR(__xludf.DUMMYFUNCTION("GOOGLETRANSLATE(A1816, ""de"", ""uk"")"),"рахунок")</f>
        <v>рахунок</v>
      </c>
    </row>
    <row r="1817" ht="15.75" customHeight="1">
      <c r="A1817" s="1" t="s">
        <v>1775</v>
      </c>
      <c r="B1817" s="2" t="str">
        <f>IFERROR(__xludf.DUMMYFUNCTION("GOOGLETRANSLATE(A1817, ""de"", ""uk"")"),"стіна")</f>
        <v>стіна</v>
      </c>
    </row>
    <row r="1818" ht="15.75" customHeight="1">
      <c r="A1818" s="1" t="s">
        <v>1776</v>
      </c>
      <c r="B1818" s="2" t="str">
        <f>IFERROR(__xludf.DUMMYFUNCTION("GOOGLETRANSLATE(A1818, ""de"", ""uk"")"),"шум")</f>
        <v>шум</v>
      </c>
    </row>
    <row r="1819" ht="15.75" customHeight="1">
      <c r="A1819" s="1" t="s">
        <v>1777</v>
      </c>
      <c r="B1819" s="2" t="str">
        <f>IFERROR(__xludf.DUMMYFUNCTION("GOOGLETRANSLATE(A1819, ""de"", ""uk"")"),"спокій")</f>
        <v>спокій</v>
      </c>
    </row>
    <row r="1820" ht="15.75" customHeight="1">
      <c r="A1820" s="1" t="s">
        <v>1778</v>
      </c>
      <c r="B1820" s="2" t="str">
        <f>IFERROR(__xludf.DUMMYFUNCTION("GOOGLETRANSLATE(A1820, ""de"", ""uk"")"),"склад")</f>
        <v>склад</v>
      </c>
    </row>
    <row r="1821" ht="15.75" customHeight="1">
      <c r="A1821" s="1" t="s">
        <v>1779</v>
      </c>
      <c r="B1821" s="2" t="str">
        <f>IFERROR(__xludf.DUMMYFUNCTION("GOOGLETRANSLATE(A1821, ""de"", ""uk"")"),"брокер")</f>
        <v>брокер</v>
      </c>
    </row>
    <row r="1822" ht="15.75" customHeight="1">
      <c r="A1822" s="1" t="s">
        <v>1780</v>
      </c>
      <c r="B1822" s="2" t="str">
        <f>IFERROR(__xludf.DUMMYFUNCTION("GOOGLETRANSLATE(A1822, ""de"", ""uk"")"),"вода")</f>
        <v>вода</v>
      </c>
    </row>
    <row r="1823" ht="15.75" customHeight="1">
      <c r="A1823" s="1" t="s">
        <v>1781</v>
      </c>
      <c r="B1823" s="2" t="str">
        <f>IFERROR(__xludf.DUMMYFUNCTION("GOOGLETRANSLATE(A1823, ""de"", ""uk"")"),"ощадний банк")</f>
        <v>ощадний банк</v>
      </c>
    </row>
    <row r="1824" ht="15.75" customHeight="1">
      <c r="A1824" s="1" t="s">
        <v>1782</v>
      </c>
      <c r="B1824" s="2" t="str">
        <f>IFERROR(__xludf.DUMMYFUNCTION("GOOGLETRANSLATE(A1824, ""de"", ""uk"")"),"гараж")</f>
        <v>гараж</v>
      </c>
    </row>
    <row r="1825" ht="15.75" customHeight="1">
      <c r="A1825" s="1" t="s">
        <v>1783</v>
      </c>
      <c r="B1825" s="2" t="str">
        <f>IFERROR(__xludf.DUMMYFUNCTION("GOOGLETRANSLATE(A1825, ""de"", ""uk"")"),"будинок")</f>
        <v>будинок</v>
      </c>
    </row>
    <row r="1826" ht="15.75" customHeight="1">
      <c r="A1826" s="1" t="s">
        <v>1784</v>
      </c>
      <c r="B1826" s="2" t="str">
        <f>IFERROR(__xludf.DUMMYFUNCTION("GOOGLETRANSLATE(A1826, ""de"", ""uk"")"),"дах")</f>
        <v>дах</v>
      </c>
    </row>
    <row r="1827" ht="15.75" customHeight="1">
      <c r="A1827" s="1" t="s">
        <v>1785</v>
      </c>
      <c r="B1827" s="2" t="str">
        <f>IFERROR(__xludf.DUMMYFUNCTION("GOOGLETRANSLATE(A1827, ""de"", ""uk"")"),"горище")</f>
        <v>горище</v>
      </c>
    </row>
    <row r="1828" ht="15.75" customHeight="1">
      <c r="A1828" s="1" t="s">
        <v>1786</v>
      </c>
      <c r="B1828" s="2" t="str">
        <f>IFERROR(__xludf.DUMMYFUNCTION("GOOGLETRANSLATE(A1828, ""de"", ""uk"")"),"вікно")</f>
        <v>вікно</v>
      </c>
    </row>
    <row r="1829" ht="15.75" customHeight="1">
      <c r="A1829" s="1" t="s">
        <v>1787</v>
      </c>
      <c r="B1829" s="2" t="str">
        <f>IFERROR(__xludf.DUMMYFUNCTION("GOOGLETRANSLATE(A1829, ""de"", ""uk"")"),"балкон")</f>
        <v>балкон</v>
      </c>
    </row>
    <row r="1830" ht="15.75" customHeight="1">
      <c r="A1830" s="1" t="s">
        <v>1788</v>
      </c>
      <c r="B1830" s="2" t="str">
        <f>IFERROR(__xludf.DUMMYFUNCTION("GOOGLETRANSLATE(A1830, ""de"", ""uk"")"),"двері")</f>
        <v>двері</v>
      </c>
    </row>
    <row r="1831" ht="15.75" customHeight="1">
      <c r="A1831" s="1" t="s">
        <v>1789</v>
      </c>
      <c r="B1831" s="2" t="str">
        <f>IFERROR(__xludf.DUMMYFUNCTION("GOOGLETRANSLATE(A1831, ""de"", ""uk"")"),"сад")</f>
        <v>сад</v>
      </c>
    </row>
    <row r="1832" ht="15.75" customHeight="1">
      <c r="A1832" s="1" t="s">
        <v>1790</v>
      </c>
      <c r="B1832" s="2" t="str">
        <f>IFERROR(__xludf.DUMMYFUNCTION("GOOGLETRANSLATE(A1832, ""de"", ""uk"")"),"перший поверх")</f>
        <v>перший поверх</v>
      </c>
    </row>
    <row r="1833" ht="15.75" customHeight="1">
      <c r="A1833" s="1" t="s">
        <v>1791</v>
      </c>
      <c r="B1833" s="2" t="str">
        <f>IFERROR(__xludf.DUMMYFUNCTION("GOOGLETRANSLATE(A1833, ""de"", ""uk"")"),"підвал")</f>
        <v>підвал</v>
      </c>
    </row>
    <row r="1834" ht="15.75" customHeight="1">
      <c r="A1834" s="1" t="s">
        <v>1792</v>
      </c>
      <c r="B1834" s="2" t="str">
        <f>IFERROR(__xludf.DUMMYFUNCTION("GOOGLETRANSLATE(A1834, ""de"", ""uk"")"),"квартира")</f>
        <v>квартира</v>
      </c>
    </row>
    <row r="1835" ht="15.75" customHeight="1">
      <c r="A1835" s="1" t="s">
        <v>1793</v>
      </c>
      <c r="B1835" s="2" t="str">
        <f>IFERROR(__xludf.DUMMYFUNCTION("GOOGLETRANSLATE(A1835, ""de"", ""uk"")"),"хід")</f>
        <v>хід</v>
      </c>
    </row>
    <row r="1836" ht="15.75" customHeight="1">
      <c r="A1836" s="1" t="s">
        <v>1794</v>
      </c>
      <c r="B1836" s="2" t="str">
        <f>IFERROR(__xludf.DUMMYFUNCTION("GOOGLETRANSLATE(A1836, ""de"", ""uk"")"),"вхід")</f>
        <v>вхід</v>
      </c>
    </row>
    <row r="1837" ht="15.75" customHeight="1">
      <c r="A1837" s="1" t="s">
        <v>1795</v>
      </c>
      <c r="B1837" s="2" t="str">
        <f>IFERROR(__xludf.DUMMYFUNCTION("GOOGLETRANSLATE(A1837, ""de"", ""uk"")"),"вихід")</f>
        <v>вихід</v>
      </c>
    </row>
    <row r="1838" ht="15.75" customHeight="1">
      <c r="A1838" s="1" t="s">
        <v>1796</v>
      </c>
      <c r="B1838" s="2" t="str">
        <f>IFERROR(__xludf.DUMMYFUNCTION("GOOGLETRANSLATE(A1838, ""de"", ""uk"")"),"кімната")</f>
        <v>кімната</v>
      </c>
    </row>
    <row r="1839" ht="15.75" customHeight="1">
      <c r="A1839" s="1" t="s">
        <v>1797</v>
      </c>
      <c r="B1839" s="2" t="str">
        <f>IFERROR(__xludf.DUMMYFUNCTION("GOOGLETRANSLATE(A1839, ""de"", ""uk"")"),"спальня")</f>
        <v>спальня</v>
      </c>
    </row>
    <row r="1840" ht="15.75" customHeight="1">
      <c r="A1840" s="1" t="s">
        <v>1798</v>
      </c>
      <c r="B1840" s="2" t="str">
        <f>IFERROR(__xludf.DUMMYFUNCTION("GOOGLETRANSLATE(A1840, ""de"", ""uk"")"),"вітальня")</f>
        <v>вітальня</v>
      </c>
    </row>
    <row r="1841" ht="15.75" customHeight="1">
      <c r="A1841" s="1" t="s">
        <v>1799</v>
      </c>
      <c r="B1841" s="2" t="str">
        <f>IFERROR(__xludf.DUMMYFUNCTION("GOOGLETRANSLATE(A1841, ""de"", ""uk"")"),"ванна кімната")</f>
        <v>ванна кімната</v>
      </c>
    </row>
    <row r="1842" ht="15.75" customHeight="1">
      <c r="A1842" s="1" t="s">
        <v>1800</v>
      </c>
      <c r="B1842" s="2" t="str">
        <f>IFERROR(__xludf.DUMMYFUNCTION("GOOGLETRANSLATE(A1842, ""de"", ""uk"")"),"душ")</f>
        <v>душ</v>
      </c>
    </row>
    <row r="1843" ht="15.75" customHeight="1">
      <c r="A1843" s="1" t="s">
        <v>1801</v>
      </c>
      <c r="B1843" s="2" t="str">
        <f>IFERROR(__xludf.DUMMYFUNCTION("GOOGLETRANSLATE(A1843, ""de"", ""uk"")"),"домогосподарство")</f>
        <v>домогосподарство</v>
      </c>
    </row>
    <row r="1844" ht="15.75" customHeight="1">
      <c r="A1844" s="1" t="s">
        <v>1802</v>
      </c>
      <c r="B1844" s="2" t="str">
        <f>IFERROR(__xludf.DUMMYFUNCTION("GOOGLETRANSLATE(A1844, ""de"", ""uk"")"),"коридор")</f>
        <v>коридор</v>
      </c>
    </row>
    <row r="1845" ht="15.75" customHeight="1">
      <c r="A1845" s="1" t="s">
        <v>1803</v>
      </c>
      <c r="B1845" s="2" t="str">
        <f>IFERROR(__xludf.DUMMYFUNCTION("GOOGLETRANSLATE(A1845, ""de"", ""uk"")"),"прохід")</f>
        <v>прохід</v>
      </c>
    </row>
    <row r="1846" ht="15.75" customHeight="1">
      <c r="A1846" s="1" t="s">
        <v>1804</v>
      </c>
      <c r="B1846" s="2" t="str">
        <f>IFERROR(__xludf.DUMMYFUNCTION("GOOGLETRANSLATE(A1846, ""de"", ""uk"")"),"система опалення")</f>
        <v>система опалення</v>
      </c>
    </row>
    <row r="1847" ht="15.75" customHeight="1">
      <c r="A1847" s="1" t="s">
        <v>1805</v>
      </c>
      <c r="B1847" s="2" t="str">
        <f>IFERROR(__xludf.DUMMYFUNCTION("GOOGLETRANSLATE(A1847, ""de"", ""uk"")"),"двір")</f>
        <v>двір</v>
      </c>
    </row>
    <row r="1848" ht="15.75" customHeight="1">
      <c r="A1848" s="1" t="s">
        <v>1806</v>
      </c>
      <c r="B1848" s="2" t="str">
        <f>IFERROR(__xludf.DUMMYFUNCTION("GOOGLETRANSLATE(A1848, ""de"", ""uk"")"),"піч")</f>
        <v>піч</v>
      </c>
    </row>
    <row r="1849" ht="15.75" customHeight="1">
      <c r="A1849" s="1" t="s">
        <v>1807</v>
      </c>
      <c r="B1849" s="2" t="str">
        <f>IFERROR(__xludf.DUMMYFUNCTION("GOOGLETRANSLATE(A1849, ""de"", ""uk"")"),"піч")</f>
        <v>піч</v>
      </c>
    </row>
    <row r="1850" ht="15.75" customHeight="1">
      <c r="A1850" s="1" t="s">
        <v>1808</v>
      </c>
      <c r="B1850" s="2" t="str">
        <f>IFERROR(__xludf.DUMMYFUNCTION("GOOGLETRANSLATE(A1850, ""de"", ""uk"")"),"кухня")</f>
        <v>кухня</v>
      </c>
    </row>
    <row r="1851" ht="15.75" customHeight="1">
      <c r="A1851" s="1" t="s">
        <v>1809</v>
      </c>
      <c r="B1851" s="2" t="str">
        <f>IFERROR(__xludf.DUMMYFUNCTION("GOOGLETRANSLATE(A1851, ""de"", ""uk"")"),"ліфт")</f>
        <v>ліфт</v>
      </c>
    </row>
    <row r="1852" ht="15.75" customHeight="1">
      <c r="A1852" s="1" t="s">
        <v>1810</v>
      </c>
      <c r="B1852" s="2" t="str">
        <f>IFERROR(__xludf.DUMMYFUNCTION("GOOGLETRANSLATE(A1852, ""de"", ""uk"")"),"замок")</f>
        <v>замок</v>
      </c>
    </row>
    <row r="1853" ht="15.75" customHeight="1">
      <c r="A1853" s="1" t="s">
        <v>1811</v>
      </c>
      <c r="B1853" s="2" t="str">
        <f>IFERROR(__xludf.DUMMYFUNCTION("GOOGLETRANSLATE(A1853, ""de"", ""uk"")"),"сходи")</f>
        <v>сходи</v>
      </c>
    </row>
    <row r="1854" ht="15.75" customHeight="1">
      <c r="A1854" s="1" t="s">
        <v>1812</v>
      </c>
      <c r="B1854" s="2" t="str">
        <f>IFERROR(__xludf.DUMMYFUNCTION("GOOGLETRANSLATE(A1854, ""de"", ""uk"")"),"смітник")</f>
        <v>смітник</v>
      </c>
    </row>
    <row r="1855" ht="15.75" customHeight="1">
      <c r="A1855" s="1" t="s">
        <v>1813</v>
      </c>
      <c r="B1855" s="2" t="str">
        <f>IFERROR(__xludf.DUMMYFUNCTION("GOOGLETRANSLATE(A1855, ""de"", ""uk"")"),"кут")</f>
        <v>кут</v>
      </c>
    </row>
    <row r="1856" ht="15.75" customHeight="1">
      <c r="A1856" s="1" t="s">
        <v>1814</v>
      </c>
      <c r="B1856" s="2" t="str">
        <f>IFERROR(__xludf.DUMMYFUNCTION("GOOGLETRANSLATE(A1856, ""de"", ""uk"")"),"розпорядок дня")</f>
        <v>розпорядок дня</v>
      </c>
    </row>
    <row r="1857" ht="15.75" customHeight="1">
      <c r="A1857" s="1" t="s">
        <v>1815</v>
      </c>
      <c r="B1857" s="2" t="str">
        <f>IFERROR(__xludf.DUMMYFUNCTION("GOOGLETRANSLATE(A1857, ""de"", ""uk"")"),"технологія")</f>
        <v>технологія</v>
      </c>
    </row>
    <row r="1858" ht="15.75" customHeight="1">
      <c r="A1858" s="1" t="s">
        <v>1816</v>
      </c>
      <c r="B1858" s="2" t="str">
        <f>IFERROR(__xludf.DUMMYFUNCTION("GOOGLETRANSLATE(A1858, ""de"", ""uk"")"),"орендна плата")</f>
        <v>орендна плата</v>
      </c>
    </row>
    <row r="1859" ht="15.75" customHeight="1">
      <c r="A1859" s="1" t="s">
        <v>1817</v>
      </c>
      <c r="B1859" s="2" t="str">
        <f>IFERROR(__xludf.DUMMYFUNCTION("GOOGLETRANSLATE(A1859, ""de"", ""uk"")"),"сміття")</f>
        <v>сміття</v>
      </c>
    </row>
    <row r="1860" ht="15.75" customHeight="1">
      <c r="A1860" s="1" t="s">
        <v>1818</v>
      </c>
      <c r="B1860" s="2" t="str">
        <f>IFERROR(__xludf.DUMMYFUNCTION("GOOGLETRANSLATE(A1860, ""de"", ""uk"")"),"додаткові витрати")</f>
        <v>додаткові витрати</v>
      </c>
    </row>
    <row r="1861" ht="15.75" customHeight="1">
      <c r="A1861" s="1" t="s">
        <v>1819</v>
      </c>
      <c r="B1861" s="2" t="str">
        <f>IFERROR(__xludf.DUMMYFUNCTION("GOOGLETRANSLATE(A1861, ""de"", ""uk"")"),"до")</f>
        <v>до</v>
      </c>
    </row>
    <row r="1862" ht="15.75" customHeight="1">
      <c r="A1862" s="1" t="s">
        <v>650</v>
      </c>
      <c r="B1862" s="2" t="str">
        <f>IFERROR(__xludf.DUMMYFUNCTION("GOOGLETRANSLATE(A1862, ""de"", ""uk"")"),"на")</f>
        <v>на</v>
      </c>
    </row>
    <row r="1863" ht="15.75" customHeight="1">
      <c r="A1863" s="1" t="s">
        <v>1820</v>
      </c>
      <c r="B1863" s="2" t="str">
        <f>IFERROR(__xludf.DUMMYFUNCTION("GOOGLETRANSLATE(A1863, ""de"", ""uk"")"),"поруч")</f>
        <v>поруч</v>
      </c>
    </row>
    <row r="1864" ht="15.75" customHeight="1">
      <c r="A1864" s="1" t="s">
        <v>1821</v>
      </c>
      <c r="B1864" s="2" t="str">
        <f>IFERROR(__xludf.DUMMYFUNCTION("GOOGLETRANSLATE(A1864, ""de"", ""uk"")"),"вище")</f>
        <v>вище</v>
      </c>
    </row>
    <row r="1865" ht="15.75" customHeight="1">
      <c r="A1865" s="1" t="s">
        <v>1822</v>
      </c>
      <c r="B1865" s="2" t="str">
        <f>IFERROR(__xludf.DUMMYFUNCTION("GOOGLETRANSLATE(A1865, ""de"", ""uk"")"),"під")</f>
        <v>під</v>
      </c>
    </row>
    <row r="1866" ht="15.75" customHeight="1">
      <c r="A1866" s="1" t="s">
        <v>1823</v>
      </c>
      <c r="B1866" s="2" t="str">
        <f>IFERROR(__xludf.DUMMYFUNCTION("GOOGLETRANSLATE(A1866, ""de"", ""uk"")"),"в")</f>
        <v>в</v>
      </c>
    </row>
    <row r="1867" ht="15.75" customHeight="1">
      <c r="A1867" s="1" t="s">
        <v>651</v>
      </c>
      <c r="B1867" s="2" t="str">
        <f>IFERROR(__xludf.DUMMYFUNCTION("GOOGLETRANSLATE(A1867, ""de"", ""uk"")"),"з")</f>
        <v>з</v>
      </c>
    </row>
    <row r="1868" ht="15.75" customHeight="1">
      <c r="A1868" s="1" t="s">
        <v>1495</v>
      </c>
      <c r="B1868" s="2" t="str">
        <f>IFERROR(__xludf.DUMMYFUNCTION("GOOGLETRANSLATE(A1868, ""de"", ""uk"")"),"через")</f>
        <v>через</v>
      </c>
    </row>
    <row r="1869" ht="15.75" customHeight="1">
      <c r="A1869" s="1" t="s">
        <v>1824</v>
      </c>
      <c r="B1869" s="2" t="str">
        <f>IFERROR(__xludf.DUMMYFUNCTION("GOOGLETRANSLATE(A1869, ""de"", ""uk"")"),"проти")</f>
        <v>проти</v>
      </c>
    </row>
    <row r="1870" ht="15.75" customHeight="1">
      <c r="A1870" s="1" t="s">
        <v>1502</v>
      </c>
      <c r="B1870" s="2" t="str">
        <f>IFERROR(__xludf.DUMMYFUNCTION("GOOGLETRANSLATE(A1870, ""de"", ""uk"")"),"між")</f>
        <v>між</v>
      </c>
    </row>
    <row r="1871" ht="15.75" customHeight="1">
      <c r="A1871" s="1" t="s">
        <v>1825</v>
      </c>
      <c r="B1871" s="2" t="str">
        <f>IFERROR(__xludf.DUMMYFUNCTION("GOOGLETRANSLATE(A1871, ""de"", ""uk"")"),"навколо")</f>
        <v>навколо</v>
      </c>
    </row>
    <row r="1872" ht="15.75" customHeight="1">
      <c r="A1872" s="1" t="s">
        <v>1492</v>
      </c>
      <c r="B1872" s="2" t="str">
        <f>IFERROR(__xludf.DUMMYFUNCTION("GOOGLETRANSLATE(A1872, ""de"", ""uk"")"),"раніше")</f>
        <v>раніше</v>
      </c>
    </row>
    <row r="1873" ht="15.75" customHeight="1">
      <c r="A1873" s="1" t="s">
        <v>1826</v>
      </c>
      <c r="B1873" s="2" t="str">
        <f>IFERROR(__xludf.DUMMYFUNCTION("GOOGLETRANSLATE(A1873, ""de"", ""uk"")"),"після")</f>
        <v>після</v>
      </c>
    </row>
    <row r="1874" ht="15.75" customHeight="1">
      <c r="A1874" s="1" t="s">
        <v>1827</v>
      </c>
      <c r="B1874" s="2" t="str">
        <f>IFERROR(__xludf.DUMMYFUNCTION("GOOGLETRANSLATE(A1874, ""de"", ""uk"")"),"з")</f>
        <v>з</v>
      </c>
    </row>
    <row r="1875" ht="15.75" customHeight="1">
      <c r="A1875" s="1" t="s">
        <v>939</v>
      </c>
      <c r="B1875" s="2" t="str">
        <f>IFERROR(__xludf.DUMMYFUNCTION("GOOGLETRANSLATE(A1875, ""de"", ""uk"")"),"без")</f>
        <v>без</v>
      </c>
    </row>
    <row r="1876" ht="15.75" customHeight="1">
      <c r="A1876" s="1" t="s">
        <v>1828</v>
      </c>
      <c r="B1876" s="2" t="str">
        <f>IFERROR(__xludf.DUMMYFUNCTION("GOOGLETRANSLATE(A1876, ""de"", ""uk"")"),"для")</f>
        <v>для</v>
      </c>
    </row>
    <row r="1877" ht="15.75" customHeight="1">
      <c r="A1877" s="1" t="s">
        <v>1829</v>
      </c>
      <c r="B1877" s="2" t="str">
        <f>IFERROR(__xludf.DUMMYFUNCTION("GOOGLETRANSLATE(A1877, ""de"", ""uk"")"),"від")</f>
        <v>від</v>
      </c>
    </row>
    <row r="1878" ht="15.75" customHeight="1">
      <c r="A1878" s="1" t="s">
        <v>1830</v>
      </c>
      <c r="B1878" s="2" t="str">
        <f>IFERROR(__xludf.DUMMYFUNCTION("GOOGLETRANSLATE(A1878, ""de"", ""uk"")"),"вище")</f>
        <v>вище</v>
      </c>
    </row>
    <row r="1879" ht="15.75" customHeight="1">
      <c r="A1879" s="1" t="s">
        <v>1831</v>
      </c>
      <c r="B1879" s="2" t="str">
        <f>IFERROR(__xludf.DUMMYFUNCTION("GOOGLETRANSLATE(A1879, ""de"", ""uk"")"),"нижче")</f>
        <v>нижче</v>
      </c>
    </row>
    <row r="1880" ht="15.75" customHeight="1">
      <c r="A1880" s="1" t="s">
        <v>1832</v>
      </c>
      <c r="B1880" s="2" t="str">
        <f>IFERROR(__xludf.DUMMYFUNCTION("GOOGLETRANSLATE(A1880, ""de"", ""uk"")"),"спереду")</f>
        <v>спереду</v>
      </c>
    </row>
    <row r="1881" ht="15.75" customHeight="1">
      <c r="A1881" s="1" t="s">
        <v>1833</v>
      </c>
      <c r="B1881" s="2" t="str">
        <f>IFERROR(__xludf.DUMMYFUNCTION("GOOGLETRANSLATE(A1881, ""de"", ""uk"")"),"задній")</f>
        <v>задній</v>
      </c>
    </row>
    <row r="1882" ht="15.75" customHeight="1">
      <c r="A1882" s="1" t="s">
        <v>1834</v>
      </c>
      <c r="B1882" s="2" t="str">
        <f>IFERROR(__xludf.DUMMYFUNCTION("GOOGLETRANSLATE(A1882, ""de"", ""uk"")"),"назовні")</f>
        <v>назовні</v>
      </c>
    </row>
    <row r="1883" ht="15.75" customHeight="1">
      <c r="A1883" s="1" t="s">
        <v>1835</v>
      </c>
      <c r="B1883" s="2" t="str">
        <f>IFERROR(__xludf.DUMMYFUNCTION("GOOGLETRANSLATE(A1883, ""de"", ""uk"")"),"всередині")</f>
        <v>всередині</v>
      </c>
    </row>
    <row r="1884" ht="15.75" customHeight="1">
      <c r="A1884" s="1" t="s">
        <v>1836</v>
      </c>
      <c r="B1884" s="2" t="str">
        <f>IFERROR(__xludf.DUMMYFUNCTION("GOOGLETRANSLATE(A1884, ""de"", ""uk"")"),"про це")</f>
        <v>про це</v>
      </c>
    </row>
    <row r="1885" ht="15.75" customHeight="1">
      <c r="A1885" s="1" t="s">
        <v>1837</v>
      </c>
      <c r="B1885" s="2" t="str">
        <f>IFERROR(__xludf.DUMMYFUNCTION("GOOGLETRANSLATE(A1885, ""de"", ""uk"")"),"крім того")</f>
        <v>крім того</v>
      </c>
    </row>
    <row r="1886" ht="15.75" customHeight="1">
      <c r="A1886" s="1" t="s">
        <v>1838</v>
      </c>
      <c r="B1886" s="2" t="str">
        <f>IFERROR(__xludf.DUMMYFUNCTION("GOOGLETRANSLATE(A1886, ""de"", ""uk"")"),"попереду")</f>
        <v>попереду</v>
      </c>
    </row>
    <row r="1887" ht="15.75" customHeight="1">
      <c r="A1887" s="1" t="s">
        <v>1839</v>
      </c>
      <c r="B1887" s="2" t="str">
        <f>IFERROR(__xludf.DUMMYFUNCTION("GOOGLETRANSLATE(A1887, ""de"", ""uk"")"),"так")</f>
        <v>так</v>
      </c>
    </row>
    <row r="1888" ht="15.75" customHeight="1">
      <c r="A1888" s="1" t="s">
        <v>1840</v>
      </c>
      <c r="B1888" s="2" t="str">
        <f>IFERROR(__xludf.DUMMYFUNCTION("GOOGLETRANSLATE(A1888, ""de"", ""uk"")"),"широкий")</f>
        <v>широкий</v>
      </c>
    </row>
    <row r="1889" ht="15.75" customHeight="1">
      <c r="A1889" s="1" t="s">
        <v>1841</v>
      </c>
      <c r="B1889" s="2" t="str">
        <f>IFERROR(__xludf.DUMMYFUNCTION("GOOGLETRANSLATE(A1889, ""de"", ""uk"")"),"вузькі")</f>
        <v>вузькі</v>
      </c>
    </row>
    <row r="1890" ht="15.75" customHeight="1">
      <c r="A1890" s="1" t="s">
        <v>1842</v>
      </c>
      <c r="B1890" s="2" t="str">
        <f>IFERROR(__xludf.DUMMYFUNCTION("GOOGLETRANSLATE(A1890, ""de"", ""uk"")"),"світло")</f>
        <v>світло</v>
      </c>
    </row>
    <row r="1891" ht="15.75" customHeight="1">
      <c r="A1891" s="1" t="s">
        <v>1843</v>
      </c>
      <c r="B1891" s="2" t="str">
        <f>IFERROR(__xludf.DUMMYFUNCTION("GOOGLETRANSLATE(A1891, ""de"", ""uk"")"),"важко")</f>
        <v>важко</v>
      </c>
    </row>
    <row r="1892" ht="15.75" customHeight="1">
      <c r="A1892" s="1" t="s">
        <v>1844</v>
      </c>
      <c r="B1892" s="2" t="str">
        <f>IFERROR(__xludf.DUMMYFUNCTION("GOOGLETRANSLATE(A1892, ""de"", ""uk"")"),"яскравий")</f>
        <v>яскравий</v>
      </c>
    </row>
    <row r="1893" ht="15.75" customHeight="1">
      <c r="A1893" s="1" t="s">
        <v>1845</v>
      </c>
      <c r="B1893" s="2" t="str">
        <f>IFERROR(__xludf.DUMMYFUNCTION("GOOGLETRANSLATE(A1893, ""de"", ""uk"")"),"темний")</f>
        <v>темний</v>
      </c>
    </row>
    <row r="1894" ht="15.75" customHeight="1">
      <c r="A1894" s="1" t="s">
        <v>1846</v>
      </c>
      <c r="B1894" s="2" t="str">
        <f>IFERROR(__xludf.DUMMYFUNCTION("GOOGLETRANSLATE(A1894, ""de"", ""uk"")"),"тихий")</f>
        <v>тихий</v>
      </c>
    </row>
    <row r="1895" ht="15.75" customHeight="1">
      <c r="A1895" s="1" t="s">
        <v>1847</v>
      </c>
      <c r="B1895" s="2" t="str">
        <f>IFERROR(__xludf.DUMMYFUNCTION("GOOGLETRANSLATE(A1895, ""de"", ""uk"")"),"голосно")</f>
        <v>голосно</v>
      </c>
    </row>
    <row r="1896" ht="15.75" customHeight="1">
      <c r="A1896" s="1" t="s">
        <v>1848</v>
      </c>
      <c r="B1896" s="2" t="str">
        <f>IFERROR(__xludf.DUMMYFUNCTION("GOOGLETRANSLATE(A1896, ""de"", ""uk"")"),"висока")</f>
        <v>висока</v>
      </c>
    </row>
    <row r="1897" ht="15.75" customHeight="1">
      <c r="A1897" s="1" t="s">
        <v>1849</v>
      </c>
      <c r="B1897" s="2" t="str">
        <f>IFERROR(__xludf.DUMMYFUNCTION("GOOGLETRANSLATE(A1897, ""de"", ""uk"")"),"низький")</f>
        <v>низький</v>
      </c>
    </row>
    <row r="1898" ht="15.75" customHeight="1">
      <c r="A1898" s="1" t="s">
        <v>1850</v>
      </c>
      <c r="B1898" s="2" t="str">
        <f>IFERROR(__xludf.DUMMYFUNCTION("GOOGLETRANSLATE(A1898, ""de"", ""uk"")"),"прямо")</f>
        <v>прямо</v>
      </c>
    </row>
    <row r="1899" ht="15.75" customHeight="1">
      <c r="A1899" s="1" t="s">
        <v>1851</v>
      </c>
      <c r="B1899" s="2" t="str">
        <f>IFERROR(__xludf.DUMMYFUNCTION("GOOGLETRANSLATE(A1899, ""de"", ""uk"")"),"кривий")</f>
        <v>кривий</v>
      </c>
    </row>
    <row r="1900" ht="15.75" customHeight="1">
      <c r="A1900" s="1" t="s">
        <v>1852</v>
      </c>
      <c r="B1900" s="2" t="str">
        <f>IFERROR(__xludf.DUMMYFUNCTION("GOOGLETRANSLATE(A1900, ""de"", ""uk"")"),"необхідний")</f>
        <v>необхідний</v>
      </c>
    </row>
    <row r="1901" ht="15.75" customHeight="1">
      <c r="A1901" s="1" t="s">
        <v>1853</v>
      </c>
      <c r="B1901" s="2" t="str">
        <f>IFERROR(__xludf.DUMMYFUNCTION("GOOGLETRANSLATE(A1901, ""de"", ""uk"")"),"круто")</f>
        <v>круто</v>
      </c>
    </row>
    <row r="1902" ht="15.75" customHeight="1">
      <c r="A1902" s="1" t="s">
        <v>1854</v>
      </c>
      <c r="B1902" s="2" t="str">
        <f>IFERROR(__xludf.DUMMYFUNCTION("GOOGLETRANSLATE(A1902, ""de"", ""uk"")"),"практичний")</f>
        <v>практичний</v>
      </c>
    </row>
    <row r="1903" ht="15.75" customHeight="1">
      <c r="A1903" s="1" t="s">
        <v>1855</v>
      </c>
      <c r="B1903" s="2" t="str">
        <f>IFERROR(__xludf.DUMMYFUNCTION("GOOGLETRANSLATE(A1903, ""de"", ""uk"")"),"річ")</f>
        <v>річ</v>
      </c>
    </row>
    <row r="1904" ht="15.75" customHeight="1">
      <c r="A1904" s="1" t="s">
        <v>1856</v>
      </c>
      <c r="B1904" s="2" t="str">
        <f>IFERROR(__xludf.DUMMYFUNCTION("GOOGLETRANSLATE(A1904, ""de"", ""uk"")"),"повний")</f>
        <v>повний</v>
      </c>
    </row>
    <row r="1905" ht="15.75" customHeight="1">
      <c r="A1905" s="1" t="s">
        <v>1857</v>
      </c>
      <c r="B1905" s="2" t="str">
        <f>IFERROR(__xludf.DUMMYFUNCTION("GOOGLETRANSLATE(A1905, ""de"", ""uk"")"),"навколо")</f>
        <v>навколо</v>
      </c>
    </row>
    <row r="1906" ht="15.75" customHeight="1">
      <c r="A1906" s="1" t="s">
        <v>1858</v>
      </c>
      <c r="B1906" s="2" t="str">
        <f>IFERROR(__xludf.DUMMYFUNCTION("GOOGLETRANSLATE(A1906, ""de"", ""uk"")"),"комфортно")</f>
        <v>комфортно</v>
      </c>
    </row>
    <row r="1907" ht="15.75" customHeight="1">
      <c r="A1907" s="1" t="s">
        <v>1859</v>
      </c>
      <c r="B1907" s="2" t="str">
        <f>IFERROR(__xludf.DUMMYFUNCTION("GOOGLETRANSLATE(A1907, ""de"", ""uk"")"),"важко")</f>
        <v>важко</v>
      </c>
    </row>
    <row r="1908" ht="15.75" customHeight="1">
      <c r="A1908" s="1" t="s">
        <v>1860</v>
      </c>
      <c r="B1908" s="2" t="str">
        <f>IFERROR(__xludf.DUMMYFUNCTION("GOOGLETRANSLATE(A1908, ""de"", ""uk"")"),"сухий")</f>
        <v>сухий</v>
      </c>
    </row>
    <row r="1909" ht="15.75" customHeight="1">
      <c r="A1909" s="1" t="s">
        <v>1861</v>
      </c>
      <c r="B1909" s="2" t="str">
        <f>IFERROR(__xludf.DUMMYFUNCTION("GOOGLETRANSLATE(A1909, ""de"", ""uk"")"),"тихий")</f>
        <v>тихий</v>
      </c>
    </row>
    <row r="1910" ht="15.75" customHeight="1">
      <c r="A1910" s="1" t="s">
        <v>1862</v>
      </c>
      <c r="B1910" s="2" t="str">
        <f>IFERROR(__xludf.DUMMYFUNCTION("GOOGLETRANSLATE(A1910, ""de"", ""uk"")"),"чистий")</f>
        <v>чистий</v>
      </c>
    </row>
    <row r="1911" ht="15.75" customHeight="1">
      <c r="A1911" s="4" t="s">
        <v>1863</v>
      </c>
      <c r="B1911" s="2" t="str">
        <f>IFERROR(__xludf.DUMMYFUNCTION("GOOGLETRANSLATE(A1911, ""de"", ""uk"")"),"Я не можу знайти туалет.")</f>
        <v>Я не можу знайти туалет.</v>
      </c>
    </row>
    <row r="1912" ht="15.75" customHeight="1">
      <c r="A1912" s="4" t="s">
        <v>1864</v>
      </c>
      <c r="B1912" s="2" t="str">
        <f>IFERROR(__xludf.DUMMYFUNCTION("GOOGLETRANSLATE(A1912, ""de"", ""uk"")"),"У нас закінчився туалетний папір.")</f>
        <v>У нас закінчився туалетний папір.</v>
      </c>
    </row>
    <row r="1913" ht="15.75" customHeight="1">
      <c r="A1913" s="4" t="s">
        <v>1865</v>
      </c>
      <c r="B1913" s="2" t="str">
        <f>IFERROR(__xludf.DUMMYFUNCTION("GOOGLETRANSLATE(A1913, ""de"", ""uk"")"),"Ми повинні перенести всі меблі в інший кут.")</f>
        <v>Ми повинні перенести всі меблі в інший кут.</v>
      </c>
    </row>
    <row r="1914" ht="15.75" customHeight="1">
      <c r="A1914" s="4" t="s">
        <v>1866</v>
      </c>
      <c r="B1914" s="2" t="str">
        <f>IFERROR(__xludf.DUMMYFUNCTION("GOOGLETRANSLATE(A1914, ""de"", ""uk"")"),"Ваше ліжко дуже зручне.")</f>
        <v>Ваше ліжко дуже зручне.</v>
      </c>
    </row>
    <row r="1915" ht="15.75" customHeight="1">
      <c r="A1915" s="4" t="s">
        <v>1867</v>
      </c>
      <c r="B1915" s="2" t="str">
        <f>IFERROR(__xludf.DUMMYFUNCTION("GOOGLETRANSLATE(A1915, ""de"", ""uk"")"),"Не варто відкривати шафу.")</f>
        <v>Не варто відкривати шафу.</v>
      </c>
    </row>
    <row r="1916" ht="15.75" customHeight="1">
      <c r="A1916" s="4" t="s">
        <v>1868</v>
      </c>
      <c r="B1916" s="2" t="str">
        <f>IFERROR(__xludf.DUMMYFUNCTION("GOOGLETRANSLATE(A1916, ""de"", ""uk"")"),"Просто постав чашку на полицю.")</f>
        <v>Просто постав чашку на полицю.</v>
      </c>
    </row>
    <row r="1917" ht="15.75" customHeight="1">
      <c r="A1917" s="4" t="s">
        <v>1869</v>
      </c>
      <c r="B1917" s="2" t="str">
        <f>IFERROR(__xludf.DUMMYFUNCTION("GOOGLETRANSLATE(A1917, ""de"", ""uk"")"),"Чи можете ви їсти за столом?")</f>
        <v>Чи можете ви їсти за столом?</v>
      </c>
    </row>
    <row r="1918" ht="15.75" customHeight="1">
      <c r="A1918" s="4" t="s">
        <v>1870</v>
      </c>
      <c r="B1918" s="2" t="str">
        <f>IFERROR(__xludf.DUMMYFUNCTION("GOOGLETRANSLATE(A1918, ""de"", ""uk"")"),"Будь ласка, сидіть тихо у своєму кріслі.")</f>
        <v>Будь ласка, сидіть тихо у своєму кріслі.</v>
      </c>
    </row>
    <row r="1919" ht="15.75" customHeight="1">
      <c r="A1919" s="4" t="s">
        <v>1871</v>
      </c>
      <c r="B1919" s="2" t="str">
        <f>IFERROR(__xludf.DUMMYFUNCTION("GOOGLETRANSLATE(A1919, ""de"", ""uk"")"),"Чоловік і жінка сидять на лавці.")</f>
        <v>Чоловік і жінка сидять на лавці.</v>
      </c>
    </row>
    <row r="1920" ht="15.75" customHeight="1">
      <c r="A1920" s="4" t="s">
        <v>1872</v>
      </c>
      <c r="B1920" s="2" t="str">
        <f>IFERROR(__xludf.DUMMYFUNCTION("GOOGLETRANSLATE(A1920, ""de"", ""uk"")"),"Хто зараз хоче сидіти в кріслі?")</f>
        <v>Хто зараз хоче сидіти в кріслі?</v>
      </c>
    </row>
    <row r="1921" ht="15.75" customHeight="1">
      <c r="A1921" s="4" t="s">
        <v>1873</v>
      </c>
      <c r="B1921" s="2" t="str">
        <f>IFERROR(__xludf.DUMMYFUNCTION("GOOGLETRANSLATE(A1921, ""de"", ""uk"")"),"Спати можна на дивані.")</f>
        <v>Спати можна на дивані.</v>
      </c>
    </row>
    <row r="1922" ht="15.75" customHeight="1">
      <c r="A1922" s="4" t="s">
        <v>1874</v>
      </c>
      <c r="B1922" s="2" t="str">
        <f>IFERROR(__xludf.DUMMYFUNCTION("GOOGLETRANSLATE(A1922, ""de"", ""uk"")"),"Чи не могли б ви ввімкнути лампу?")</f>
        <v>Чи не могли б ви ввімкнути лампу?</v>
      </c>
    </row>
    <row r="1923" ht="15.75" customHeight="1">
      <c r="A1923" s="4" t="s">
        <v>1875</v>
      </c>
      <c r="B1923" s="2" t="str">
        <f>IFERROR(__xludf.DUMMYFUNCTION("GOOGLETRANSLATE(A1923, ""de"", ""uk"")"),"Килим ще вчора був чистим.")</f>
        <v>Килим ще вчора був чистим.</v>
      </c>
    </row>
    <row r="1924" ht="15.75" customHeight="1">
      <c r="A1924" s="4" t="s">
        <v>1876</v>
      </c>
      <c r="B1924" s="2" t="str">
        <f>IFERROR(__xludf.DUMMYFUNCTION("GOOGLETRANSLATE(A1924, ""de"", ""uk"")"),"На картині жінка у своєму саду.")</f>
        <v>На картині жінка у своєму саду.</v>
      </c>
    </row>
    <row r="1925" ht="15.75" customHeight="1">
      <c r="A1925" s="4" t="s">
        <v>1877</v>
      </c>
      <c r="B1925" s="2" t="str">
        <f>IFERROR(__xludf.DUMMYFUNCTION("GOOGLETRANSLATE(A1925, ""de"", ""uk"")"),"Ключ не підходить до замка.")</f>
        <v>Ключ не підходить до замка.</v>
      </c>
    </row>
    <row r="1926" ht="15.75" customHeight="1">
      <c r="A1926" s="4" t="s">
        <v>1878</v>
      </c>
      <c r="B1926" s="2" t="str">
        <f>IFERROR(__xludf.DUMMYFUNCTION("GOOGLETRANSLATE(A1926, ""de"", ""uk"")"),"Чому ви не ввімкнули посудомийну машину?")</f>
        <v>Чому ви не ввімкнули посудомийну машину?</v>
      </c>
    </row>
    <row r="1927" ht="15.75" customHeight="1">
      <c r="A1927" s="4" t="s">
        <v>1879</v>
      </c>
      <c r="B1927" s="2" t="str">
        <f>IFERROR(__xludf.DUMMYFUNCTION("GOOGLETRANSLATE(A1927, ""de"", ""uk"")"),"Будь ласка, поставте молоко в холодильник.")</f>
        <v>Будь ласка, поставте молоко в холодильник.</v>
      </c>
    </row>
    <row r="1928" ht="15.75" customHeight="1">
      <c r="A1928" s="4" t="s">
        <v>1880</v>
      </c>
      <c r="B1928" s="2" t="str">
        <f>IFERROR(__xludf.DUMMYFUNCTION("GOOGLETRANSLATE(A1928, ""de"", ""uk"")"),"На фото багато дітей.")</f>
        <v>На фото багато дітей.</v>
      </c>
    </row>
    <row r="1929" ht="15.75" customHeight="1">
      <c r="A1929" s="4" t="s">
        <v>1881</v>
      </c>
      <c r="B1929" s="2" t="str">
        <f>IFERROR(__xludf.DUMMYFUNCTION("GOOGLETRANSLATE(A1929, ""de"", ""uk"")"),"Що в коробці?")</f>
        <v>Що в коробці?</v>
      </c>
    </row>
    <row r="1930" ht="15.75" customHeight="1">
      <c r="A1930" s="4" t="s">
        <v>1882</v>
      </c>
      <c r="B1930" s="2" t="str">
        <f>IFERROR(__xludf.DUMMYFUNCTION("GOOGLETRANSLATE(A1930, ""de"", ""uk"")"),"Чи можете ви, будь ласка, запалити свічку, вона занадто темна.")</f>
        <v>Чи можете ви, будь ласка, запалити свічку, вона занадто темна.</v>
      </c>
    </row>
    <row r="1931" ht="15.75" customHeight="1">
      <c r="A1931" s="4" t="s">
        <v>1883</v>
      </c>
      <c r="B1931" s="2" t="str">
        <f>IFERROR(__xludf.DUMMYFUNCTION("GOOGLETRANSLATE(A1931, ""de"", ""uk"")"),"Коли закінчено прання?")</f>
        <v>Коли закінчено прання?</v>
      </c>
    </row>
    <row r="1932" ht="15.75" customHeight="1">
      <c r="A1932" s="1" t="s">
        <v>1884</v>
      </c>
      <c r="B1932" s="2" t="str">
        <f>IFERROR(__xludf.DUMMYFUNCTION("GOOGLETRANSLATE(A1932, ""de"", ""uk"")"),"Шафа занадто широка для передпокою.")</f>
        <v>Шафа занадто широка для передпокою.</v>
      </c>
    </row>
    <row r="1933" ht="15.75" customHeight="1">
      <c r="A1933" s="1" t="s">
        <v>1885</v>
      </c>
      <c r="B1933" s="2" t="str">
        <f>IFERROR(__xludf.DUMMYFUNCTION("GOOGLETRANSLATE(A1933, ""de"", ""uk"")"),"Доводиться нести ліжко через вузький коридор.")</f>
        <v>Доводиться нести ліжко через вузький коридор.</v>
      </c>
    </row>
    <row r="1934" ht="15.75" customHeight="1">
      <c r="A1934" s="1" t="s">
        <v>1886</v>
      </c>
      <c r="B1934" s="2" t="str">
        <f>IFERROR(__xludf.DUMMYFUNCTION("GOOGLETRANSLATE(A1934, ""de"", ""uk"")"),"Лампу зручно носити.")</f>
        <v>Лампу зручно носити.</v>
      </c>
    </row>
    <row r="1935" ht="15.75" customHeight="1">
      <c r="A1935" s="1" t="s">
        <v>1887</v>
      </c>
      <c r="B1935" s="2" t="str">
        <f>IFERROR(__xludf.DUMMYFUNCTION("GOOGLETRANSLATE(A1935, ""de"", ""uk"")"),"Двері важко відкриваються.")</f>
        <v>Двері важко відкриваються.</v>
      </c>
    </row>
    <row r="1936" ht="15.75" customHeight="1">
      <c r="A1936" s="1" t="s">
        <v>1888</v>
      </c>
      <c r="B1936" s="2" t="str">
        <f>IFERROR(__xludf.DUMMYFUNCTION("GOOGLETRANSLATE(A1936, ""de"", ""uk"")"),"Наша вітальня гарна і світла.")</f>
        <v>Наша вітальня гарна і світла.</v>
      </c>
    </row>
    <row r="1937" ht="15.75" customHeight="1">
      <c r="A1937" s="1" t="s">
        <v>1889</v>
      </c>
      <c r="B1937" s="2" t="str">
        <f>IFERROR(__xludf.DUMMYFUNCTION("GOOGLETRANSLATE(A1937, ""de"", ""uk"")"),"Увечері на дворі темно.")</f>
        <v>Увечері на дворі темно.</v>
      </c>
    </row>
    <row r="1938" ht="15.75" customHeight="1">
      <c r="A1938" s="1" t="s">
        <v>1890</v>
      </c>
      <c r="B1938" s="2" t="str">
        <f>IFERROR(__xludf.DUMMYFUNCTION("GOOGLETRANSLATE(A1938, ""de"", ""uk"")"),"Ми повинні бути тихими.")</f>
        <v>Ми повинні бути тихими.</v>
      </c>
    </row>
    <row r="1939" ht="15.75" customHeight="1">
      <c r="A1939" s="1" t="s">
        <v>1891</v>
      </c>
      <c r="B1939" s="2" t="str">
        <f>IFERROR(__xludf.DUMMYFUNCTION("GOOGLETRANSLATE(A1939, ""de"", ""uk"")"),"Вчора ввечері дитина була дуже голосною.")</f>
        <v>Вчора ввечері дитина була дуже голосною.</v>
      </c>
    </row>
    <row r="1940" ht="15.75" customHeight="1">
      <c r="A1940" s="1" t="s">
        <v>1892</v>
      </c>
      <c r="B1940" s="2" t="str">
        <f>IFERROR(__xludf.DUMMYFUNCTION("GOOGLETRANSLATE(A1940, ""de"", ""uk"")"),"Шафа занадто висока для мене, чи можете ви мені допомогти?")</f>
        <v>Шафа занадто висока для мене, чи можете ви мені допомогти?</v>
      </c>
    </row>
    <row r="1941" ht="15.75" customHeight="1">
      <c r="A1941" s="1" t="s">
        <v>1893</v>
      </c>
      <c r="B1941" s="2" t="str">
        <f>IFERROR(__xludf.DUMMYFUNCTION("GOOGLETRANSLATE(A1941, ""de"", ""uk"")"),"Хочу низький столик.")</f>
        <v>Хочу низький столик.</v>
      </c>
    </row>
    <row r="1942" ht="15.75" customHeight="1">
      <c r="A1942" s="1" t="s">
        <v>1894</v>
      </c>
      <c r="B1942" s="2" t="str">
        <f>IFERROR(__xludf.DUMMYFUNCTION("GOOGLETRANSLATE(A1942, ""de"", ""uk"")"),"Фото нібито зараз висить на стіні.")</f>
        <v>Фото нібито зараз висить на стіні.</v>
      </c>
    </row>
    <row r="1943" ht="15.75" customHeight="1">
      <c r="A1943" s="1" t="s">
        <v>1895</v>
      </c>
      <c r="B1943" s="2" t="str">
        <f>IFERROR(__xludf.DUMMYFUNCTION("GOOGLETRANSLATE(A1943, ""de"", ""uk"")"),"Чому банан кривий?")</f>
        <v>Чому банан кривий?</v>
      </c>
    </row>
    <row r="1944" ht="15.75" customHeight="1">
      <c r="A1944" s="1" t="s">
        <v>1896</v>
      </c>
      <c r="B1944" s="2" t="str">
        <f>IFERROR(__xludf.DUMMYFUNCTION("GOOGLETRANSLATE(A1944, ""de"", ""uk"")"),"Ми повинні купувати наші меблі, що були у вживанні.")</f>
        <v>Ми повинні купувати наші меблі, що були у вживанні.</v>
      </c>
    </row>
    <row r="1945" ht="15.75" customHeight="1">
      <c r="A1945" s="1" t="s">
        <v>1897</v>
      </c>
      <c r="B1945" s="2" t="str">
        <f>IFERROR(__xludf.DUMMYFUNCTION("GOOGLETRANSLATE(A1945, ""de"", ""uk"")"),"У холодильнику прохолодно.")</f>
        <v>У холодильнику прохолодно.</v>
      </c>
    </row>
    <row r="1946" ht="15.75" customHeight="1">
      <c r="A1946" s="1" t="s">
        <v>1898</v>
      </c>
      <c r="B1946" s="2" t="str">
        <f>IFERROR(__xludf.DUMMYFUNCTION("GOOGLETRANSLATE(A1946, ""de"", ""uk"")"),"Ліфт - це дуже зручно.")</f>
        <v>Ліфт - це дуже зручно.</v>
      </c>
    </row>
    <row r="1947" ht="15.75" customHeight="1">
      <c r="A1947" s="1" t="s">
        <v>1899</v>
      </c>
      <c r="B1947" s="2" t="str">
        <f>IFERROR(__xludf.DUMMYFUNCTION("GOOGLETRANSLATE(A1947, ""de"", ""uk"")"),"Будь ласка, не чіпайте мої речі.")</f>
        <v>Будь ласка, не чіпайте мої речі.</v>
      </c>
    </row>
    <row r="1948" ht="15.75" customHeight="1">
      <c r="A1948" s="1" t="s">
        <v>1900</v>
      </c>
      <c r="B1948" s="2" t="str">
        <f>IFERROR(__xludf.DUMMYFUNCTION("GOOGLETRANSLATE(A1948, ""de"", ""uk"")"),"Ми нарешті закінчили ремонт.")</f>
        <v>Ми нарешті закінчили ремонт.</v>
      </c>
    </row>
    <row r="1949" ht="15.75" customHeight="1">
      <c r="A1949" s="1" t="s">
        <v>1901</v>
      </c>
      <c r="B1949" s="2" t="str">
        <f>IFERROR(__xludf.DUMMYFUNCTION("GOOGLETRANSLATE(A1949, ""de"", ""uk"")"),"Ви купили круглий стіл.")</f>
        <v>Ви купили круглий стіл.</v>
      </c>
    </row>
    <row r="1950" ht="15.75" customHeight="1">
      <c r="A1950" s="1" t="s">
        <v>1902</v>
      </c>
      <c r="B1950" s="2" t="str">
        <f>IFERROR(__xludf.DUMMYFUNCTION("GOOGLETRANSLATE(A1950, ""de"", ""uk"")"),"Крісло дійсно зручне.")</f>
        <v>Крісло дійсно зручне.</v>
      </c>
    </row>
    <row r="1951" ht="15.75" customHeight="1">
      <c r="A1951" s="1" t="s">
        <v>1903</v>
      </c>
      <c r="B1951" s="2" t="str">
        <f>IFERROR(__xludf.DUMMYFUNCTION("GOOGLETRANSLATE(A1951, ""de"", ""uk"")"),"Диван занадто жорсткий для мене, щоб спати.")</f>
        <v>Диван занадто жорсткий для мене, щоб спати.</v>
      </c>
    </row>
    <row r="1952" ht="15.75" customHeight="1">
      <c r="A1952" s="1" t="s">
        <v>1904</v>
      </c>
      <c r="B1952" s="2" t="str">
        <f>IFERROR(__xludf.DUMMYFUNCTION("GOOGLETRANSLATE(A1952, ""de"", ""uk"")"),"Білизна вже висохла?")</f>
        <v>Білизна вже висохла?</v>
      </c>
    </row>
    <row r="1953" ht="15.75" customHeight="1">
      <c r="A1953" s="1" t="s">
        <v>1905</v>
      </c>
      <c r="B1953" s="2" t="str">
        <f>IFERROR(__xludf.DUMMYFUNCTION("GOOGLETRANSLATE(A1953, ""de"", ""uk"")"),"На балконі затишно і тихо.")</f>
        <v>На балконі затишно і тихо.</v>
      </c>
    </row>
    <row r="1954" ht="15.75" customHeight="1">
      <c r="A1954" s="1" t="s">
        <v>1906</v>
      </c>
      <c r="B1954" s="2" t="str">
        <f>IFERROR(__xludf.DUMMYFUNCTION("GOOGLETRANSLATE(A1954, ""de"", ""uk"")"),"Кухня не чиста.")</f>
        <v>Кухня не чиста.</v>
      </c>
    </row>
    <row r="1955" ht="15.75" customHeight="1">
      <c r="A1955" s="1" t="s">
        <v>1907</v>
      </c>
      <c r="B1955" s="2" t="str">
        <f>IFERROR(__xludf.DUMMYFUNCTION("GOOGLETRANSLATE(A1955, ""de"", ""uk"")"),"Зустрінемося на виході.")</f>
        <v>Зустрінемося на виході.</v>
      </c>
    </row>
    <row r="1956" ht="15.75" customHeight="1">
      <c r="A1956" s="1" t="s">
        <v>1908</v>
      </c>
      <c r="B1956" s="2" t="str">
        <f>IFERROR(__xludf.DUMMYFUNCTION("GOOGLETRANSLATE(A1956, ""de"", ""uk"")"),"Будь ласка, поставте склянку на стіл.")</f>
        <v>Будь ласка, поставте склянку на стіл.</v>
      </c>
    </row>
    <row r="1957" ht="15.75" customHeight="1">
      <c r="A1957" s="1" t="s">
        <v>1909</v>
      </c>
      <c r="B1957" s="2" t="str">
        <f>IFERROR(__xludf.DUMMYFUNCTION("GOOGLETRANSLATE(A1957, ""de"", ""uk"")"),"Вішаємо картину біля шафи.")</f>
        <v>Вішаємо картину біля шафи.</v>
      </c>
    </row>
    <row r="1958" ht="15.75" customHeight="1">
      <c r="A1958" s="1" t="s">
        <v>1910</v>
      </c>
      <c r="B1958" s="2" t="str">
        <f>IFERROR(__xludf.DUMMYFUNCTION("GOOGLETRANSLATE(A1958, ""de"", ""uk"")"),"Я йду по килиму.")</f>
        <v>Я йду по килиму.</v>
      </c>
    </row>
    <row r="1959" ht="15.75" customHeight="1">
      <c r="A1959" s="1" t="s">
        <v>1911</v>
      </c>
      <c r="B1959" s="2" t="str">
        <f>IFERROR(__xludf.DUMMYFUNCTION("GOOGLETRANSLATE(A1959, ""de"", ""uk"")"),"На жаль, підкилимних грошей немає.")</f>
        <v>На жаль, підкилимних грошей немає.</v>
      </c>
    </row>
    <row r="1960" ht="15.75" customHeight="1">
      <c r="A1960" s="1" t="s">
        <v>1912</v>
      </c>
      <c r="B1960" s="2" t="str">
        <f>IFERROR(__xludf.DUMMYFUNCTION("GOOGLETRANSLATE(A1960, ""de"", ""uk"")"),"У посудомийній машині багато посуду.")</f>
        <v>У посудомийній машині багато посуду.</v>
      </c>
    </row>
    <row r="1961" ht="15.75" customHeight="1">
      <c r="A1961" s="1" t="s">
        <v>1913</v>
      </c>
      <c r="B1961" s="2" t="str">
        <f>IFERROR(__xludf.DUMMYFUNCTION("GOOGLETRANSLATE(A1961, ""de"", ""uk"")"),"Дістаю з шафи піджак.")</f>
        <v>Дістаю з шафи піджак.</v>
      </c>
    </row>
    <row r="1962" ht="15.75" customHeight="1">
      <c r="A1962" s="1" t="s">
        <v>1914</v>
      </c>
      <c r="B1962" s="2" t="str">
        <f>IFERROR(__xludf.DUMMYFUNCTION("GOOGLETRANSLATE(A1962, ""de"", ""uk"")"),"Треба пройти через коридор.")</f>
        <v>Треба пройти через коридор.</v>
      </c>
    </row>
    <row r="1963" ht="15.75" customHeight="1">
      <c r="A1963" s="1" t="s">
        <v>1915</v>
      </c>
      <c r="B1963" s="2" t="str">
        <f>IFERROR(__xludf.DUMMYFUNCTION("GOOGLETRANSLATE(A1963, ""de"", ""uk"")"),"Дитина врізалася в стіну.")</f>
        <v>Дитина врізалася в стіну.</v>
      </c>
    </row>
    <row r="1964" ht="15.75" customHeight="1">
      <c r="A1964" s="1" t="s">
        <v>1916</v>
      </c>
      <c r="B1964" s="2" t="str">
        <f>IFERROR(__xludf.DUMMYFUNCTION("GOOGLETRANSLATE(A1964, ""de"", ""uk"")"),"Вона вибирає між двома картинками.")</f>
        <v>Вона вибирає між двома картинками.</v>
      </c>
    </row>
    <row r="1965" ht="15.75" customHeight="1">
      <c r="A1965" s="1" t="s">
        <v>1917</v>
      </c>
      <c r="B1965" s="2" t="str">
        <f>IFERROR(__xludf.DUMMYFUNCTION("GOOGLETRANSLATE(A1965, ""de"", ""uk"")"),"Ходиш по хаті?")</f>
        <v>Ходиш по хаті?</v>
      </c>
    </row>
    <row r="1966" ht="15.75" customHeight="1">
      <c r="A1966" s="1" t="s">
        <v>1918</v>
      </c>
      <c r="B1966" s="2" t="str">
        <f>IFERROR(__xludf.DUMMYFUNCTION("GOOGLETRANSLATE(A1966, ""de"", ""uk"")"),"Я чекаю перед входом.")</f>
        <v>Я чекаю перед входом.</v>
      </c>
    </row>
    <row r="1967" ht="15.75" customHeight="1">
      <c r="A1967" s="1" t="s">
        <v>1919</v>
      </c>
      <c r="B1967" s="2" t="str">
        <f>IFERROR(__xludf.DUMMYFUNCTION("GOOGLETRANSLATE(A1967, ""de"", ""uk"")"),"Жінка йде за чоловіком.")</f>
        <v>Жінка йде за чоловіком.</v>
      </c>
    </row>
    <row r="1968" ht="15.75" customHeight="1">
      <c r="A1968" s="1" t="s">
        <v>1920</v>
      </c>
      <c r="B1968" s="2" t="str">
        <f>IFERROR(__xludf.DUMMYFUNCTION("GOOGLETRANSLATE(A1968, ""de"", ""uk"")"),"Чоловік приходить з дитиною.")</f>
        <v>Чоловік приходить з дитиною.</v>
      </c>
    </row>
    <row r="1969" ht="15.75" customHeight="1">
      <c r="A1969" s="1" t="s">
        <v>1921</v>
      </c>
      <c r="B1969" s="2" t="str">
        <f>IFERROR(__xludf.DUMMYFUNCTION("GOOGLETRANSLATE(A1969, ""de"", ""uk"")"),"Жінка приходить без чоловіка.")</f>
        <v>Жінка приходить без чоловіка.</v>
      </c>
    </row>
    <row r="1970" ht="15.75" customHeight="1">
      <c r="A1970" s="1" t="s">
        <v>1922</v>
      </c>
      <c r="B1970" s="2" t="str">
        <f>IFERROR(__xludf.DUMMYFUNCTION("GOOGLETRANSLATE(A1970, ""de"", ""uk"")"),"Гроші не для вас.")</f>
        <v>Гроші не для вас.</v>
      </c>
    </row>
    <row r="1971" ht="15.75" customHeight="1">
      <c r="A1971" s="1" t="s">
        <v>1923</v>
      </c>
      <c r="B1971" s="2" t="str">
        <f>IFERROR(__xludf.DUMMYFUNCTION("GOOGLETRANSLATE(A1971, ""de"", ""uk"")"),"Гроші від дружини.")</f>
        <v>Гроші від дружини.</v>
      </c>
    </row>
    <row r="1972" ht="15.75" customHeight="1">
      <c r="A1972" s="1" t="s">
        <v>1924</v>
      </c>
      <c r="B1972" s="2" t="str">
        <f>IFERROR(__xludf.DUMMYFUNCTION("GOOGLETRANSLATE(A1972, ""de"", ""uk"")"),"Ми живемо на вершині.")</f>
        <v>Ми живемо на вершині.</v>
      </c>
    </row>
    <row r="1973" ht="15.75" customHeight="1">
      <c r="A1973" s="1" t="s">
        <v>1925</v>
      </c>
      <c r="B1973" s="2" t="str">
        <f>IFERROR(__xludf.DUMMYFUNCTION("GOOGLETRANSLATE(A1973, ""de"", ""uk"")"),"Будь ласка, спустіться вниз.")</f>
        <v>Будь ласка, спустіться вниз.</v>
      </c>
    </row>
    <row r="1974" ht="15.75" customHeight="1">
      <c r="A1974" s="1" t="s">
        <v>1926</v>
      </c>
      <c r="B1974" s="2" t="str">
        <f>IFERROR(__xludf.DUMMYFUNCTION("GOOGLETRANSLATE(A1974, ""de"", ""uk"")"),"З фасаду будинок виглядає красиво.")</f>
        <v>З фасаду будинок виглядає красиво.</v>
      </c>
    </row>
    <row r="1975" ht="15.75" customHeight="1">
      <c r="A1975" s="1" t="s">
        <v>1927</v>
      </c>
      <c r="B1975" s="2" t="str">
        <f>IFERROR(__xludf.DUMMYFUNCTION("GOOGLETRANSLATE(A1975, ""de"", ""uk"")"),"Там нічого не залишилося.")</f>
        <v>Там нічого не залишилося.</v>
      </c>
    </row>
    <row r="1976" ht="15.75" customHeight="1">
      <c r="A1976" s="1" t="s">
        <v>1928</v>
      </c>
      <c r="B1976" s="2" t="str">
        <f>IFERROR(__xludf.DUMMYFUNCTION("GOOGLETRANSLATE(A1976, ""de"", ""uk"")"),"Зараз ми йдемо на вулицю.")</f>
        <v>Зараз ми йдемо на вулицю.</v>
      </c>
    </row>
    <row r="1977" ht="15.75" customHeight="1">
      <c r="A1977" s="1" t="s">
        <v>1929</v>
      </c>
      <c r="B1977" s="2" t="str">
        <f>IFERROR(__xludf.DUMMYFUNCTION("GOOGLETRANSLATE(A1977, ""de"", ""uk"")"),"Чому ти все ще всередині?")</f>
        <v>Чому ти все ще всередині?</v>
      </c>
    </row>
    <row r="1978" ht="15.75" customHeight="1">
      <c r="A1978" s="1" t="s">
        <v>1930</v>
      </c>
      <c r="B1978" s="2" t="str">
        <f>IFERROR(__xludf.DUMMYFUNCTION("GOOGLETRANSLATE(A1978, ""de"", ""uk"")"),"Чи можете ви поставити шафу над ним?")</f>
        <v>Чи можете ви поставити шафу над ним?</v>
      </c>
    </row>
    <row r="1979" ht="15.75" customHeight="1">
      <c r="A1979" s="1" t="s">
        <v>1931</v>
      </c>
      <c r="B1979" s="2" t="str">
        <f>IFERROR(__xludf.DUMMYFUNCTION("GOOGLETRANSLATE(A1979, ""de"", ""uk"")"),"Додайте ще трохи солі.")</f>
        <v>Додайте ще трохи солі.</v>
      </c>
    </row>
    <row r="1980" ht="15.75" customHeight="1">
      <c r="A1980" s="1" t="s">
        <v>1932</v>
      </c>
      <c r="B1980" s="2" t="str">
        <f>IFERROR(__xludf.DUMMYFUNCTION("GOOGLETRANSLATE(A1980, ""de"", ""uk"")"),"Попереду ще один готель.")</f>
        <v>Попереду ще один готель.</v>
      </c>
    </row>
    <row r="1981" ht="15.75" customHeight="1">
      <c r="A1981" s="1" t="s">
        <v>1933</v>
      </c>
      <c r="B1981" s="2" t="str">
        <f>IFERROR(__xludf.DUMMYFUNCTION("GOOGLETRANSLATE(A1981, ""de"", ""uk"")"),"Так багато грошей за так мало їжі.")</f>
        <v>Так багато грошей за так мало їжі.</v>
      </c>
    </row>
    <row r="1982" ht="15.75" customHeight="1">
      <c r="A1982" s="1" t="s">
        <v>1934</v>
      </c>
      <c r="B1982" s="2" t="str">
        <f>IFERROR(__xludf.DUMMYFUNCTION("GOOGLETRANSLATE(A1982, ""de"", ""uk"")"),"Чоловік ставить свою машину в гараж.")</f>
        <v>Чоловік ставить свою машину в гараж.</v>
      </c>
    </row>
    <row r="1983" ht="15.75" customHeight="1">
      <c r="A1983" s="1" t="s">
        <v>1935</v>
      </c>
      <c r="B1983" s="2" t="str">
        <f>IFERROR(__xludf.DUMMYFUNCTION("GOOGLETRANSLATE(A1983, ""de"", ""uk"")"),"Ми живемо в нашому будинку в оренду.")</f>
        <v>Ми живемо в нашому будинку в оренду.</v>
      </c>
    </row>
    <row r="1984" ht="15.75" customHeight="1">
      <c r="A1984" s="1" t="s">
        <v>1936</v>
      </c>
      <c r="B1984" s="2" t="str">
        <f>IFERROR(__xludf.DUMMYFUNCTION("GOOGLETRANSLATE(A1984, ""de"", ""uk"")"),"Покрівля зламана, потребує ремонту.")</f>
        <v>Покрівля зламана, потребує ремонту.</v>
      </c>
    </row>
    <row r="1985" ht="15.75" customHeight="1">
      <c r="A1985" s="1" t="s">
        <v>1937</v>
      </c>
      <c r="B1985" s="2" t="str">
        <f>IFERROR(__xludf.DUMMYFUNCTION("GOOGLETRANSLATE(A1985, ""de"", ""uk"")"),"Будь ласка, поставте картину на горище.")</f>
        <v>Будь ласка, поставте картину на горище.</v>
      </c>
    </row>
    <row r="1986" ht="15.75" customHeight="1">
      <c r="A1986" s="1" t="s">
        <v>1938</v>
      </c>
      <c r="B1986" s="2" t="str">
        <f>IFERROR(__xludf.DUMMYFUNCTION("GOOGLETRANSLATE(A1986, ""de"", ""uk"")"),"Відкрийте вікно, будь ласка.")</f>
        <v>Відкрийте вікно, будь ласка.</v>
      </c>
    </row>
    <row r="1987" ht="15.75" customHeight="1">
      <c r="A1987" s="1" t="s">
        <v>1939</v>
      </c>
      <c r="B1987" s="2" t="str">
        <f>IFERROR(__xludf.DUMMYFUNCTION("GOOGLETRANSLATE(A1987, ""de"", ""uk"")"),"Жінка стоїть на балконі.")</f>
        <v>Жінка стоїть на балконі.</v>
      </c>
    </row>
    <row r="1988" ht="15.75" customHeight="1">
      <c r="A1988" s="1" t="s">
        <v>1940</v>
      </c>
      <c r="B1988" s="2" t="str">
        <f>IFERROR(__xludf.DUMMYFUNCTION("GOOGLETRANSLATE(A1988, ""de"", ""uk"")"),"За цими дверима знаходиться туалет.")</f>
        <v>За цими дверима знаходиться туалет.</v>
      </c>
    </row>
    <row r="1989" ht="15.75" customHeight="1">
      <c r="A1989" s="1" t="s">
        <v>1941</v>
      </c>
      <c r="B1989" s="2" t="str">
        <f>IFERROR(__xludf.DUMMYFUNCTION("GOOGLETRANSLATE(A1989, ""de"", ""uk"")"),"Будинок має гарний сад.")</f>
        <v>Будинок має гарний сад.</v>
      </c>
    </row>
    <row r="1990" ht="15.75" customHeight="1">
      <c r="A1990" s="1" t="s">
        <v>1942</v>
      </c>
      <c r="B1990" s="2" t="str">
        <f>IFERROR(__xludf.DUMMYFUNCTION("GOOGLETRANSLATE(A1990, ""de"", ""uk"")"),"Я живу на першому поверсі і мені не потрібно підніматися сходами.")</f>
        <v>Я живу на першому поверсі і мені не потрібно підніматися сходами.</v>
      </c>
    </row>
    <row r="1991" ht="15.75" customHeight="1">
      <c r="A1991" s="1" t="s">
        <v>1943</v>
      </c>
      <c r="B1991" s="2" t="str">
        <f>IFERROR(__xludf.DUMMYFUNCTION("GOOGLETRANSLATE(A1991, ""de"", ""uk"")"),"Чи не могли б ви прибрати сьогодні підвал?")</f>
        <v>Чи не могли б ви прибрати сьогодні підвал?</v>
      </c>
    </row>
    <row r="1992" ht="15.75" customHeight="1">
      <c r="A1992" s="4" t="s">
        <v>1944</v>
      </c>
      <c r="B1992" s="2" t="str">
        <f>IFERROR(__xludf.DUMMYFUNCTION("GOOGLETRANSLATE(A1992, ""de"", ""uk"")"),"Переїжджаємо в нову квартиру.")</f>
        <v>Переїжджаємо в нову квартиру.</v>
      </c>
    </row>
    <row r="1993" ht="15.75" customHeight="1">
      <c r="A1993" s="1" t="s">
        <v>1945</v>
      </c>
      <c r="B1993" s="2" t="str">
        <f>IFERROR(__xludf.DUMMYFUNCTION("GOOGLETRANSLATE(A1993, ""de"", ""uk"")"),"Робимо рух без сторонньої допомоги.")</f>
        <v>Робимо рух без сторонньої допомоги.</v>
      </c>
    </row>
    <row r="1994" ht="15.75" customHeight="1">
      <c r="A1994" s="1" t="s">
        <v>1946</v>
      </c>
      <c r="B1994" s="2" t="str">
        <f>IFERROR(__xludf.DUMMYFUNCTION("GOOGLETRANSLATE(A1994, ""de"", ""uk"")"),"Вхід там, нагорі.")</f>
        <v>Вхід там, нагорі.</v>
      </c>
    </row>
    <row r="1995" ht="15.75" customHeight="1">
      <c r="A1995" s="1" t="s">
        <v>1947</v>
      </c>
      <c r="B1995" s="2" t="str">
        <f>IFERROR(__xludf.DUMMYFUNCTION("GOOGLETRANSLATE(A1995, ""de"", ""uk"")"),"Вибачте, я не можу знайти вихід.")</f>
        <v>Вибачте, я не можу знайти вихід.</v>
      </c>
    </row>
    <row r="1996" ht="15.75" customHeight="1">
      <c r="A1996" s="1" t="s">
        <v>1948</v>
      </c>
      <c r="B1996" s="2" t="str">
        <f>IFERROR(__xludf.DUMMYFUNCTION("GOOGLETRANSLATE(A1996, ""de"", ""uk"")"),"У його кімнаті лише ліжко та шафа.")</f>
        <v>У його кімнаті лише ліжко та шафа.</v>
      </c>
    </row>
    <row r="1997" ht="15.75" customHeight="1">
      <c r="A1997" s="1" t="s">
        <v>1949</v>
      </c>
      <c r="B1997" s="2" t="str">
        <f>IFERROR(__xludf.DUMMYFUNCTION("GOOGLETRANSLATE(A1997, ""de"", ""uk"")"),"Ліжко в спальні.")</f>
        <v>Ліжко в спальні.</v>
      </c>
    </row>
    <row r="1998" ht="15.75" customHeight="1">
      <c r="A1998" s="1" t="s">
        <v>1950</v>
      </c>
      <c r="B1998" s="2" t="str">
        <f>IFERROR(__xludf.DUMMYFUNCTION("GOOGLETRANSLATE(A1998, ""de"", ""uk"")"),"Будь ласка, розмістіть диван у вітальні.")</f>
        <v>Будь ласка, розмістіть диван у вітальні.</v>
      </c>
    </row>
    <row r="1999" ht="15.75" customHeight="1">
      <c r="A1999" s="1" t="s">
        <v>1951</v>
      </c>
      <c r="B1999" s="2" t="str">
        <f>IFERROR(__xludf.DUMMYFUNCTION("GOOGLETRANSLATE(A1999, ""de"", ""uk"")"),"Я чищу зуби у ванній.")</f>
        <v>Я чищу зуби у ванній.</v>
      </c>
    </row>
    <row r="2000" ht="15.75" customHeight="1">
      <c r="A2000" s="1" t="s">
        <v>1952</v>
      </c>
      <c r="B2000" s="2" t="str">
        <f>IFERROR(__xludf.DUMMYFUNCTION("GOOGLETRANSLATE(A2000, ""de"", ""uk"")"),"Ти зараз збираєшся прийняти душ?")</f>
        <v>Ти зараз збираєшся прийняти душ?</v>
      </c>
    </row>
    <row r="2001" ht="15.75" customHeight="1">
      <c r="A2001" s="1" t="s">
        <v>1953</v>
      </c>
      <c r="B2001" s="2" t="str">
        <f>IFERROR(__xludf.DUMMYFUNCTION("GOOGLETRANSLATE(A2001, ""de"", ""uk"")"),"Жінка веде господарство.")</f>
        <v>Жінка веде господарство.</v>
      </c>
    </row>
    <row r="2002" ht="15.75" customHeight="1">
      <c r="A2002" s="1" t="s">
        <v>1954</v>
      </c>
      <c r="B2002" s="2" t="str">
        <f>IFERROR(__xludf.DUMMYFUNCTION("GOOGLETRANSLATE(A2002, ""de"", ""uk"")"),"Через ці двері ви потрапляєте в коридор.")</f>
        <v>Через ці двері ви потрапляєте в коридор.</v>
      </c>
    </row>
    <row r="2003" ht="15.75" customHeight="1">
      <c r="A2003" s="1" t="s">
        <v>1955</v>
      </c>
      <c r="B2003" s="2" t="str">
        <f>IFERROR(__xludf.DUMMYFUNCTION("GOOGLETRANSLATE(A2003, ""de"", ""uk"")"),"Я живу в глибині коридору.")</f>
        <v>Я живу в глибині коридору.</v>
      </c>
    </row>
    <row r="2004" ht="15.75" customHeight="1">
      <c r="A2004" s="4" t="s">
        <v>1956</v>
      </c>
      <c r="B2004" s="2" t="str">
        <f>IFERROR(__xludf.DUMMYFUNCTION("GOOGLETRANSLATE(A2004, ""de"", ""uk"")"),"Ви можете включити опалення?")</f>
        <v>Ви можете включити опалення?</v>
      </c>
    </row>
    <row r="2005" ht="15.75" customHeight="1">
      <c r="A2005" s="1" t="s">
        <v>1957</v>
      </c>
      <c r="B2005" s="2" t="str">
        <f>IFERROR(__xludf.DUMMYFUNCTION("GOOGLETRANSLATE(A2005, ""de"", ""uk"")"),"Будинок має гарний двір.")</f>
        <v>Будинок має гарний двір.</v>
      </c>
    </row>
    <row r="2006" ht="15.75" customHeight="1">
      <c r="A2006" s="1" t="s">
        <v>1958</v>
      </c>
      <c r="B2006" s="2" t="str">
        <f>IFERROR(__xludf.DUMMYFUNCTION("GOOGLETRANSLATE(A2006, ""de"", ""uk"")"),"Купив піч б/в.")</f>
        <v>Купив піч б/в.</v>
      </c>
    </row>
    <row r="2007" ht="15.75" customHeight="1">
      <c r="A2007" s="1" t="s">
        <v>1959</v>
      </c>
      <c r="B2007" s="2" t="str">
        <f>IFERROR(__xludf.DUMMYFUNCTION("GOOGLETRANSLATE(A2007, ""de"", ""uk"")"),"Піч не зламана.")</f>
        <v>Піч не зламана.</v>
      </c>
    </row>
    <row r="2008" ht="15.75" customHeight="1">
      <c r="A2008" s="1" t="s">
        <v>1960</v>
      </c>
      <c r="B2008" s="2" t="str">
        <f>IFERROR(__xludf.DUMMYFUNCTION("GOOGLETRANSLATE(A2008, ""de"", ""uk"")"),"Я йду на кухню і готую щось їсти.")</f>
        <v>Я йду на кухню і готую щось їсти.</v>
      </c>
    </row>
    <row r="2009" ht="15.75" customHeight="1">
      <c r="A2009" s="1" t="s">
        <v>1961</v>
      </c>
      <c r="B2009" s="2" t="str">
        <f>IFERROR(__xludf.DUMMYFUNCTION("GOOGLETRANSLATE(A2009, ""de"", ""uk"")"),"Я живу на першому поверсі і мені не потрібен ліфт.")</f>
        <v>Я живу на першому поверсі і мені не потрібен ліфт.</v>
      </c>
    </row>
    <row r="2010" ht="15.75" customHeight="1">
      <c r="A2010" s="1" t="s">
        <v>1962</v>
      </c>
      <c r="B2010" s="2" t="str">
        <f>IFERROR(__xludf.DUMMYFUNCTION("GOOGLETRANSLATE(A2010, ""de"", ""uk"")"),"Ви можете закрити замок.")</f>
        <v>Ви можете закрити замок.</v>
      </c>
    </row>
    <row r="2011" ht="15.75" customHeight="1">
      <c r="A2011" s="1" t="s">
        <v>1963</v>
      </c>
      <c r="B2011" s="2" t="str">
        <f>IFERROR(__xludf.DUMMYFUNCTION("GOOGLETRANSLATE(A2011, ""de"", ""uk"")"),"Мені доводиться цілий день ходити сходами.")</f>
        <v>Мені доводиться цілий день ходити сходами.</v>
      </c>
    </row>
    <row r="2012" ht="15.75" customHeight="1">
      <c r="A2012" s="1" t="s">
        <v>1964</v>
      </c>
      <c r="B2012" s="2" t="str">
        <f>IFERROR(__xludf.DUMMYFUNCTION("GOOGLETRANSLATE(A2012, ""de"", ""uk"")"),"Ви можете поставити туди смітник, будь ласка.")</f>
        <v>Ви можете поставити туди смітник, будь ласка.</v>
      </c>
    </row>
    <row r="2013" ht="15.75" customHeight="1">
      <c r="A2013" s="1" t="s">
        <v>1965</v>
      </c>
      <c r="B2013" s="2" t="str">
        <f>IFERROR(__xludf.DUMMYFUNCTION("GOOGLETRANSLATE(A2013, ""de"", ""uk"")"),"Заходжу за ріг.")</f>
        <v>Заходжу за ріг.</v>
      </c>
    </row>
    <row r="2014" ht="15.75" customHeight="1">
      <c r="A2014" s="1" t="s">
        <v>1966</v>
      </c>
      <c r="B2014" s="2" t="str">
        <f>IFERROR(__xludf.DUMMYFUNCTION("GOOGLETRANSLATE(A2014, ""de"", ""uk"")"),"У мене однаковий розпорядок дня.")</f>
        <v>У мене однаковий розпорядок дня.</v>
      </c>
    </row>
    <row r="2015" ht="15.75" customHeight="1">
      <c r="A2015" s="1" t="s">
        <v>1967</v>
      </c>
      <c r="B2015" s="2" t="str">
        <f>IFERROR(__xludf.DUMMYFUNCTION("GOOGLETRANSLATE(A2015, ""de"", ""uk"")"),"Техніка в будинку ще не працює.")</f>
        <v>Техніка в будинку ще не працює.</v>
      </c>
    </row>
    <row r="2016" ht="15.75" customHeight="1">
      <c r="A2016" s="1" t="s">
        <v>1968</v>
      </c>
      <c r="B2016" s="2" t="str">
        <f>IFERROR(__xludf.DUMMYFUNCTION("GOOGLETRANSLATE(A2016, ""de"", ""uk"")"),"Моя орендна плата занадто висока.")</f>
        <v>Моя орендна плата занадто висока.</v>
      </c>
    </row>
    <row r="2017" ht="15.75" customHeight="1">
      <c r="A2017" s="1" t="s">
        <v>1969</v>
      </c>
      <c r="B2017" s="2" t="str">
        <f>IFERROR(__xludf.DUMMYFUNCTION("GOOGLETRANSLATE(A2017, ""de"", ""uk"")"),"Хто виносить сміття?")</f>
        <v>Хто виносить сміття?</v>
      </c>
    </row>
    <row r="2018" ht="15.75" customHeight="1">
      <c r="A2018" s="1" t="s">
        <v>1970</v>
      </c>
      <c r="B2018" s="2" t="str">
        <f>IFERROR(__xludf.DUMMYFUNCTION("GOOGLETRANSLATE(A2018, ""de"", ""uk"")"),"Я більше не можу оплачувати додаткові витрати.")</f>
        <v>Я більше не можу оплачувати додаткові витрати.</v>
      </c>
    </row>
    <row r="2019" ht="15.75" customHeight="1">
      <c r="A2019" s="1" t="s">
        <v>1971</v>
      </c>
      <c r="B2019" s="2" t="str">
        <f>IFERROR(__xludf.DUMMYFUNCTION("GOOGLETRANSLATE(A2019, ""de"", ""uk"")"),"Ширина шафи підходить?")</f>
        <v>Ширина шафи підходить?</v>
      </c>
    </row>
    <row r="2020" ht="15.75" customHeight="1">
      <c r="A2020" s="1" t="s">
        <v>1972</v>
      </c>
      <c r="B2020" s="2" t="str">
        <f>IFERROR(__xludf.DUMMYFUNCTION("GOOGLETRANSLATE(A2020, ""de"", ""uk"")"),"Треба ще виміряти висоту.")</f>
        <v>Треба ще виміряти висоту.</v>
      </c>
    </row>
    <row r="2021" ht="15.75" customHeight="1">
      <c r="A2021" s="1" t="s">
        <v>1973</v>
      </c>
      <c r="B2021" s="2" t="str">
        <f>IFERROR(__xludf.DUMMYFUNCTION("GOOGLETRANSLATE(A2021, ""de"", ""uk"")"),"Ви можете виміряти глибину шафи?")</f>
        <v>Ви можете виміряти глибину шафи?</v>
      </c>
    </row>
    <row r="2022" ht="15.75" customHeight="1">
      <c r="A2022" s="1" t="s">
        <v>1974</v>
      </c>
      <c r="B2022" s="2" t="str">
        <f>IFERROR(__xludf.DUMMYFUNCTION("GOOGLETRANSLATE(A2022, ""de"", ""uk"")"),"Довжина холодильника не поміщається в машину.")</f>
        <v>Довжина холодильника не поміщається в машину.</v>
      </c>
    </row>
    <row r="2023" ht="15.75" customHeight="1">
      <c r="A2023" s="1" t="s">
        <v>1975</v>
      </c>
      <c r="B2023" s="2" t="str">
        <f>IFERROR(__xludf.DUMMYFUNCTION("GOOGLETRANSLATE(A2023, ""de"", ""uk"")"),"Вимірюйте з точністю до сантиметра.")</f>
        <v>Вимірюйте з точністю до сантиметра.</v>
      </c>
    </row>
    <row r="2024" ht="15.75" customHeight="1">
      <c r="A2024" s="1" t="s">
        <v>1976</v>
      </c>
      <c r="B2024" s="2" t="str">
        <f>IFERROR(__xludf.DUMMYFUNCTION("GOOGLETRANSLATE(A2024, ""de"", ""uk"")"),"Шафа висотою два метри.")</f>
        <v>Шафа висотою два метри.</v>
      </c>
    </row>
    <row r="2025" ht="15.75" customHeight="1">
      <c r="A2025" s="1" t="s">
        <v>1977</v>
      </c>
      <c r="B2025" s="2" t="str">
        <f>IFERROR(__xludf.DUMMYFUNCTION("GOOGLETRANSLATE(A2025, ""de"", ""uk"")"),"Скільки квадратних метрів квартири?")</f>
        <v>Скільки квадратних метрів квартири?</v>
      </c>
    </row>
    <row r="2026" ht="15.75" customHeight="1">
      <c r="A2026" s="1" t="s">
        <v>1978</v>
      </c>
      <c r="B2026" s="2" t="str">
        <f>IFERROR(__xludf.DUMMYFUNCTION("GOOGLETRANSLATE(A2026, ""de"", ""uk"")"),"Скільки кілометрів до Дрездена?")</f>
        <v>Скільки кілометрів до Дрездена?</v>
      </c>
    </row>
    <row r="2027" ht="15.75" customHeight="1">
      <c r="A2027" s="1" t="s">
        <v>1979</v>
      </c>
      <c r="B2027" s="2" t="str">
        <f>IFERROR(__xludf.DUMMYFUNCTION("GOOGLETRANSLATE(A2027, ""de"", ""uk"")"),"Вага завелика для ліфта.")</f>
        <v>Вага завелика для ліфта.</v>
      </c>
    </row>
    <row r="2028" ht="15.75" customHeight="1">
      <c r="A2028" s="1" t="s">
        <v>759</v>
      </c>
      <c r="B2028" s="2" t="str">
        <f>IFERROR(__xludf.DUMMYFUNCTION("GOOGLETRANSLATE(A2028, ""de"", ""uk"")"),"Двісті грамів м'яса, будь ласка.")</f>
        <v>Двісті грамів м'яса, будь ласка.</v>
      </c>
    </row>
    <row r="2029" ht="15.75" customHeight="1">
      <c r="A2029" s="1" t="s">
        <v>1980</v>
      </c>
      <c r="B2029" s="2" t="str">
        <f>IFERROR(__xludf.DUMMYFUNCTION("GOOGLETRANSLATE(A2029, ""de"", ""uk"")"),"Я беру півкіло помідорів.")</f>
        <v>Я беру півкіло помідорів.</v>
      </c>
    </row>
    <row r="2030" ht="15.75" customHeight="1">
      <c r="A2030" s="1" t="s">
        <v>1981</v>
      </c>
      <c r="B2030" s="2" t="str">
        <f>IFERROR(__xludf.DUMMYFUNCTION("GOOGLETRANSLATE(A2030, ""de"", ""uk"")"),"Ви можете покласти два кілограми яблук у мою сумку?")</f>
        <v>Ви можете покласти два кілограми яблук у мою сумку?</v>
      </c>
    </row>
    <row r="2031" ht="15.75" customHeight="1">
      <c r="A2031" s="1" t="s">
        <v>1982</v>
      </c>
      <c r="B2031" s="2" t="str">
        <f>IFERROR(__xludf.DUMMYFUNCTION("GOOGLETRANSLATE(A2031, ""de"", ""uk"")"),"Вода кипить при ста градусах Цельсія.")</f>
        <v>Вода кипить при ста градусах Цельсія.</v>
      </c>
    </row>
    <row r="2032" ht="15.75" customHeight="1">
      <c r="A2032" s="1" t="s">
        <v>1983</v>
      </c>
      <c r="B2032" s="2" t="str">
        <f>IFERROR(__xludf.DUMMYFUNCTION("GOOGLETRANSLATE(A2032, ""de"", ""uk"")"),"Ми повинні виміряти це в мілілітрах.")</f>
        <v>Ми повинні виміряти це в мілілітрах.</v>
      </c>
    </row>
    <row r="2033" ht="15.75" customHeight="1">
      <c r="A2033" s="1" t="s">
        <v>1984</v>
      </c>
      <c r="B2033" s="2" t="str">
        <f>IFERROR(__xludf.DUMMYFUNCTION("GOOGLETRANSLATE(A2033, ""de"", ""uk"")"),"Він випив літр пива.")</f>
        <v>Він випив літр пива.</v>
      </c>
    </row>
    <row r="2034" ht="15.75" customHeight="1">
      <c r="A2034" s="1" t="s">
        <v>1985</v>
      </c>
      <c r="B2034" s="2" t="str">
        <f>IFERROR(__xludf.DUMMYFUNCTION("GOOGLETRANSLATE(A2034, ""de"", ""uk"")"),"Півлітра вина для мене забагато.")</f>
        <v>Півлітра вина для мене забагато.</v>
      </c>
    </row>
    <row r="2035" ht="15.75" customHeight="1">
      <c r="A2035" s="1" t="s">
        <v>1986</v>
      </c>
      <c r="B2035" s="2" t="str">
        <f>IFERROR(__xludf.DUMMYFUNCTION("GOOGLETRANSLATE(A2035, ""de"", ""uk"")"),"Ще потрібні розміри квартири.")</f>
        <v>Ще потрібні розміри квартири.</v>
      </c>
    </row>
    <row r="2036" ht="15.75" customHeight="1">
      <c r="A2036" s="1" t="s">
        <v>1987</v>
      </c>
      <c r="B2036" s="2" t="str">
        <f>IFERROR(__xludf.DUMMYFUNCTION("GOOGLETRANSLATE(A2036, ""de"", ""uk"")"),"Можна поставити пляшку на тарілку.")</f>
        <v>Можна поставити пляшку на тарілку.</v>
      </c>
    </row>
    <row r="2037" ht="15.75" customHeight="1">
      <c r="A2037" s="1" t="s">
        <v>1988</v>
      </c>
      <c r="B2037" s="2" t="str">
        <f>IFERROR(__xludf.DUMMYFUNCTION("GOOGLETRANSLATE(A2037, ""de"", ""uk"")"),"Ми повинні тут розібратися.")</f>
        <v>Ми повинні тут розібратися.</v>
      </c>
    </row>
    <row r="2038" ht="15.75" customHeight="1">
      <c r="A2038" s="1" t="s">
        <v>1989</v>
      </c>
      <c r="B2038" s="2" t="str">
        <f>IFERROR(__xludf.DUMMYFUNCTION("GOOGLETRANSLATE(A2038, ""de"", ""uk"")"),"Ваш безлад дуже поганий.")</f>
        <v>Ваш безлад дуже поганий.</v>
      </c>
    </row>
    <row r="2039" ht="15.75" customHeight="1">
      <c r="A2039" s="1" t="s">
        <v>1990</v>
      </c>
      <c r="B2039" s="2" t="str">
        <f>IFERROR(__xludf.DUMMYFUNCTION("GOOGLETRANSLATE(A2039, ""de"", ""uk"")"),"Скільки ви платите за електроенергію?")</f>
        <v>Скільки ви платите за електроенергію?</v>
      </c>
    </row>
    <row r="2040" ht="15.75" customHeight="1">
      <c r="A2040" s="1" t="s">
        <v>1991</v>
      </c>
      <c r="B2040" s="2" t="str">
        <f>IFERROR(__xludf.DUMMYFUNCTION("GOOGLETRANSLATE(A2040, ""de"", ""uk"")"),"Наш сусід справді дуже привітний.")</f>
        <v>Наш сусід справді дуже привітний.</v>
      </c>
    </row>
    <row r="2041" ht="15.75" customHeight="1">
      <c r="A2041" s="1" t="s">
        <v>1992</v>
      </c>
      <c r="B2041" s="2" t="str">
        <f>IFERROR(__xludf.DUMMYFUNCTION("GOOGLETRANSLATE(A2041, ""de"", ""uk"")"),"Що це за об'єкт?")</f>
        <v>Що це за об'єкт?</v>
      </c>
    </row>
    <row r="2042" ht="15.75" customHeight="1">
      <c r="A2042" s="1" t="s">
        <v>1993</v>
      </c>
      <c r="B2042" s="2" t="str">
        <f>IFERROR(__xludf.DUMMYFUNCTION("GOOGLETRANSLATE(A2042, ""de"", ""uk"")"),"Хазяїн хоче більше грошей.")</f>
        <v>Хазяїн хоче більше грошей.</v>
      </c>
    </row>
    <row r="2043" ht="15.75" customHeight="1">
      <c r="A2043" s="1" t="s">
        <v>1994</v>
      </c>
      <c r="B2043" s="2" t="str">
        <f>IFERROR(__xludf.DUMMYFUNCTION("GOOGLETRANSLATE(A2043, ""de"", ""uk"")"),"На моєму поточному рахунку не залишилося грошей.")</f>
        <v>На моєму поточному рахунку не залишилося грошей.</v>
      </c>
    </row>
    <row r="2044" ht="15.75" customHeight="1">
      <c r="A2044" s="1" t="s">
        <v>1995</v>
      </c>
      <c r="B2044" s="2" t="str">
        <f>IFERROR(__xludf.DUMMYFUNCTION("GOOGLETRANSLATE(A2044, ""de"", ""uk"")"),"Наш рахунок у мінусі.")</f>
        <v>Наш рахунок у мінусі.</v>
      </c>
    </row>
    <row r="2045" ht="15.75" customHeight="1">
      <c r="A2045" s="1" t="s">
        <v>1996</v>
      </c>
      <c r="B2045" s="2" t="str">
        <f>IFERROR(__xludf.DUMMYFUNCTION("GOOGLETRANSLATE(A2045, ""de"", ""uk"")"),"Дитина стоїть на стіні.")</f>
        <v>Дитина стоїть на стіні.</v>
      </c>
    </row>
    <row r="2046" ht="15.75" customHeight="1">
      <c r="A2046" s="1" t="s">
        <v>1997</v>
      </c>
      <c r="B2046" s="2" t="str">
        <f>IFERROR(__xludf.DUMMYFUNCTION("GOOGLETRANSLATE(A2046, ""de"", ""uk"")"),"Шум машин шкідливий для здоров'я.")</f>
        <v>Шум машин шкідливий для здоров'я.</v>
      </c>
    </row>
    <row r="2047" ht="15.75" customHeight="1">
      <c r="A2047" s="1" t="s">
        <v>1998</v>
      </c>
      <c r="B2047" s="2" t="str">
        <f>IFERROR(__xludf.DUMMYFUNCTION("GOOGLETRANSLATE(A2047, ""de"", ""uk"")"),"Мені нарешті потрібен відпочинок.")</f>
        <v>Мені нарешті потрібен відпочинок.</v>
      </c>
    </row>
    <row r="2048" ht="15.75" customHeight="1">
      <c r="A2048" s="1" t="s">
        <v>1999</v>
      </c>
      <c r="B2048" s="2" t="str">
        <f>IFERROR(__xludf.DUMMYFUNCTION("GOOGLETRANSLATE(A2048, ""de"", ""uk"")"),"Будь ласка, принесіть речі на склад.")</f>
        <v>Будь ласка, принесіть речі на склад.</v>
      </c>
    </row>
    <row r="2049" ht="15.75" customHeight="1">
      <c r="A2049" s="1" t="s">
        <v>2000</v>
      </c>
      <c r="B2049" s="2" t="str">
        <f>IFERROR(__xludf.DUMMYFUNCTION("GOOGLETRANSLATE(A2049, ""de"", ""uk"")"),"Агент знайшов нам квартиру.")</f>
        <v>Агент знайшов нам квартиру.</v>
      </c>
    </row>
    <row r="2050" ht="15.75" customHeight="1">
      <c r="A2050" s="1" t="s">
        <v>2001</v>
      </c>
      <c r="B2050" s="2" t="str">
        <f>IFERROR(__xludf.DUMMYFUNCTION("GOOGLETRANSLATE(A2050, ""de"", ""uk"")"),"Дитина повинна пити багато води.")</f>
        <v>Дитина повинна пити багато води.</v>
      </c>
    </row>
    <row r="2051" ht="15.75" customHeight="1">
      <c r="A2051" s="1" t="s">
        <v>2002</v>
      </c>
      <c r="B2051" s="2" t="str">
        <f>IFERROR(__xludf.DUMMYFUNCTION("GOOGLETRANSLATE(A2051, ""de"", ""uk"")"),"Я люблю ходити в ощадбанк.")</f>
        <v>Я люблю ходити в ощадбанк.</v>
      </c>
    </row>
    <row r="2052" ht="15.75" customHeight="1">
      <c r="A2052" s="4" t="s">
        <v>2003</v>
      </c>
      <c r="B2052" s="2" t="str">
        <f>IFERROR(__xludf.DUMMYFUNCTION("GOOGLETRANSLATE(A2052, ""de"", ""uk"")"),"Ми хотіли б виїхати з нашої квартири наступного тижня.")</f>
        <v>Ми хотіли б виїхати з нашої квартири наступного тижня.</v>
      </c>
    </row>
    <row r="2053" ht="15.75" customHeight="1">
      <c r="A2053" s="4" t="s">
        <v>2004</v>
      </c>
      <c r="B2053" s="2" t="str">
        <f>IFERROR(__xludf.DUMMYFUNCTION("GOOGLETRANSLATE(A2053, ""de"", ""uk"")"),"Коли вони заселяться?")</f>
        <v>Коли вони заселяться?</v>
      </c>
    </row>
    <row r="2054" ht="15.75" customHeight="1">
      <c r="A2054" s="4" t="s">
        <v>2005</v>
      </c>
      <c r="B2054" s="2" t="str">
        <f>IFERROR(__xludf.DUMMYFUNCTION("GOOGLETRANSLATE(A2054, ""de"", ""uk"")"),"Вимірюємо ширину шафи.")</f>
        <v>Вимірюємо ширину шафи.</v>
      </c>
    </row>
    <row r="2055" ht="15.75" customHeight="1">
      <c r="A2055" s="4" t="s">
        <v>2006</v>
      </c>
      <c r="B2055" s="2" t="str">
        <f>IFERROR(__xludf.DUMMYFUNCTION("GOOGLETRANSLATE(A2055, ""de"", ""uk"")"),"Вночі вмикаємо світло.")</f>
        <v>Вночі вмикаємо світло.</v>
      </c>
    </row>
    <row r="2056" ht="15.75" customHeight="1">
      <c r="A2056" s="4" t="s">
        <v>2007</v>
      </c>
      <c r="B2056" s="2" t="str">
        <f>IFERROR(__xludf.DUMMYFUNCTION("GOOGLETRANSLATE(A2056, ""de"", ""uk"")"),"Коли світає, ми знову вимикаємо світло.")</f>
        <v>Коли світає, ми знову вимикаємо світло.</v>
      </c>
    </row>
    <row r="2057" ht="15.75" customHeight="1">
      <c r="A2057" s="4" t="s">
        <v>2008</v>
      </c>
      <c r="B2057" s="2" t="str">
        <f>IFERROR(__xludf.DUMMYFUNCTION("GOOGLETRANSLATE(A2057, ""de"", ""uk"")"),"Чи можете ви відчинити мені двері?")</f>
        <v>Чи можете ви відчинити мені двері?</v>
      </c>
    </row>
    <row r="2058" ht="15.75" customHeight="1">
      <c r="A2058" s="4" t="s">
        <v>2009</v>
      </c>
      <c r="B2058" s="2" t="str">
        <f>IFERROR(__xludf.DUMMYFUNCTION("GOOGLETRANSLATE(A2058, ""de"", ""uk"")"),"Дитина не зачинила двері.")</f>
        <v>Дитина не зачинила двері.</v>
      </c>
    </row>
    <row r="2059" ht="15.75" customHeight="1">
      <c r="A2059" s="4" t="s">
        <v>2010</v>
      </c>
      <c r="B2059" s="2" t="str">
        <f>IFERROR(__xludf.DUMMYFUNCTION("GOOGLETRANSLATE(A2059, ""de"", ""uk"")"),"Чоловік штовхається на стіну, але нічого не відбувається.")</f>
        <v>Чоловік штовхається на стіну, але нічого не відбувається.</v>
      </c>
    </row>
    <row r="2060" ht="15.75" customHeight="1">
      <c r="A2060" s="4" t="s">
        <v>2011</v>
      </c>
      <c r="B2060" s="2" t="str">
        <f>IFERROR(__xludf.DUMMYFUNCTION("GOOGLETRANSLATE(A2060, ""de"", ""uk"")"),"Жінка тримає дитину на руках.")</f>
        <v>Жінка тримає дитину на руках.</v>
      </c>
    </row>
    <row r="2061" ht="15.75" customHeight="1">
      <c r="A2061" s="4" t="s">
        <v>2012</v>
      </c>
      <c r="B2061" s="2" t="str">
        <f>IFERROR(__xludf.DUMMYFUNCTION("GOOGLETRANSLATE(A2061, ""de"", ""uk"")"),"Де висить картина?")</f>
        <v>Де висить картина?</v>
      </c>
    </row>
    <row r="2062" ht="15.75" customHeight="1">
      <c r="A2062" s="4" t="s">
        <v>2013</v>
      </c>
      <c r="B2062" s="2" t="str">
        <f>IFERROR(__xludf.DUMMYFUNCTION("GOOGLETRANSLATE(A2062, ""de"", ""uk"")"),"Просто стукай у двері.")</f>
        <v>Просто стукай у двері.</v>
      </c>
    </row>
    <row r="2063" ht="15.75" customHeight="1">
      <c r="A2063" s="4" t="s">
        <v>2014</v>
      </c>
      <c r="B2063" s="2" t="str">
        <f>IFERROR(__xludf.DUMMYFUNCTION("GOOGLETRANSLATE(A2063, ""de"", ""uk"")"),"Поклади сюди ніж.")</f>
        <v>Поклади сюди ніж.</v>
      </c>
    </row>
    <row r="2064" ht="15.75" customHeight="1">
      <c r="A2064" s="4" t="s">
        <v>2015</v>
      </c>
      <c r="B2064" s="2" t="str">
        <f>IFERROR(__xludf.DUMMYFUNCTION("GOOGLETRANSLATE(A2064, ""de"", ""uk"")"),"На столі сто євро.")</f>
        <v>На столі сто євро.</v>
      </c>
    </row>
    <row r="2065" ht="15.75" customHeight="1">
      <c r="A2065" s="4" t="s">
        <v>2016</v>
      </c>
      <c r="B2065" s="2" t="str">
        <f>IFERROR(__xludf.DUMMYFUNCTION("GOOGLETRANSLATE(A2065, ""de"", ""uk"")"),"Дитина може чистити зуби без сторонньої допомоги.")</f>
        <v>Дитина може чистити зуби без сторонньої допомоги.</v>
      </c>
    </row>
    <row r="2066" ht="15.75" customHeight="1">
      <c r="A2066" s="4" t="s">
        <v>2017</v>
      </c>
      <c r="B2066" s="2" t="str">
        <f>IFERROR(__xludf.DUMMYFUNCTION("GOOGLETRANSLATE(A2066, ""de"", ""uk"")"),"Ми повинні відремонтувати машину.")</f>
        <v>Ми повинні відремонтувати машину.</v>
      </c>
    </row>
    <row r="2067" ht="15.75" customHeight="1">
      <c r="A2067" s="4" t="s">
        <v>2018</v>
      </c>
      <c r="B2067" s="2" t="str">
        <f>IFERROR(__xludf.DUMMYFUNCTION("GOOGLETRANSLATE(A2067, ""de"", ""uk"")"),"Ви можете поставити стіл попереду.")</f>
        <v>Ви можете поставити стіл попереду.</v>
      </c>
    </row>
    <row r="2068" ht="15.75" customHeight="1">
      <c r="A2068" s="4" t="s">
        <v>2019</v>
      </c>
      <c r="B2068" s="2" t="str">
        <f>IFERROR(__xludf.DUMMYFUNCTION("GOOGLETRANSLATE(A2068, ""de"", ""uk"")"),"Чи можете ви допомогти мені відсунути стіл у кут?")</f>
        <v>Чи можете ви допомогти мені відсунути стіл у кут?</v>
      </c>
    </row>
    <row r="2069" ht="15.75" customHeight="1">
      <c r="A2069" s="4" t="s">
        <v>2020</v>
      </c>
      <c r="B2069" s="2" t="str">
        <f>IFERROR(__xludf.DUMMYFUNCTION("GOOGLETRANSLATE(A2069, ""de"", ""uk"")"),"Тягнемо килим трохи вліво.")</f>
        <v>Тягнемо килим трохи вліво.</v>
      </c>
    </row>
    <row r="2070" ht="15.75" customHeight="1">
      <c r="A2070" s="4" t="s">
        <v>2021</v>
      </c>
      <c r="B2070" s="2" t="str">
        <f>IFERROR(__xludf.DUMMYFUNCTION("GOOGLETRANSLATE(A2070, ""de"", ""uk"")"),"Офіціант загубив гаманець.")</f>
        <v>Офіціант загубив гаманець.</v>
      </c>
    </row>
    <row r="2071" ht="15.75" customHeight="1">
      <c r="A2071" s="4" t="s">
        <v>2022</v>
      </c>
      <c r="B2071" s="2" t="str">
        <f>IFERROR(__xludf.DUMMYFUNCTION("GOOGLETRANSLATE(A2071, ""de"", ""uk"")"),"Два стільці досі відсутні.")</f>
        <v>Два стільці досі відсутні.</v>
      </c>
    </row>
    <row r="2072" ht="15.75" customHeight="1">
      <c r="A2072" s="4" t="s">
        <v>2023</v>
      </c>
      <c r="B2072" s="2" t="str">
        <f>IFERROR(__xludf.DUMMYFUNCTION("GOOGLETRANSLATE(A2072, ""de"", ""uk"")"),"Машина більше не працює.")</f>
        <v>Машина більше не працює.</v>
      </c>
    </row>
    <row r="2073" ht="15.75" customHeight="1">
      <c r="A2073" s="4" t="s">
        <v>2024</v>
      </c>
      <c r="B2073" s="2" t="str">
        <f>IFERROR(__xludf.DUMMYFUNCTION("GOOGLETRANSLATE(A2073, ""de"", ""uk"")"),"З вашої кишені випало два євро.")</f>
        <v>З вашої кишені випало два євро.</v>
      </c>
    </row>
    <row r="2074" ht="15.75" customHeight="1">
      <c r="A2074" s="4" t="s">
        <v>2025</v>
      </c>
      <c r="B2074" s="2" t="str">
        <f>IFERROR(__xludf.DUMMYFUNCTION("GOOGLETRANSLATE(A2074, ""de"", ""uk"")"),"Треба сортувати білизну за чорним і білим одягом.")</f>
        <v>Треба сортувати білизну за чорним і білим одягом.</v>
      </c>
    </row>
    <row r="2075" ht="15.75" customHeight="1">
      <c r="A2075" s="4" t="s">
        <v>2026</v>
      </c>
      <c r="B2075" s="2" t="str">
        <f>IFERROR(__xludf.DUMMYFUNCTION("GOOGLETRANSLATE(A2075, ""de"", ""uk"")"),"Я не люблю підніматися сходами.")</f>
        <v>Я не люблю підніматися сходами.</v>
      </c>
    </row>
    <row r="2076" ht="15.75" customHeight="1">
      <c r="A2076" s="4" t="s">
        <v>2027</v>
      </c>
      <c r="B2076" s="2" t="str">
        <f>IFERROR(__xludf.DUMMYFUNCTION("GOOGLETRANSLATE(A2076, ""de"", ""uk"")"),"Мені знову вмиватися?")</f>
        <v>Мені знову вмиватися?</v>
      </c>
    </row>
    <row r="2077" ht="15.75" customHeight="1">
      <c r="A2077" s="4" t="s">
        <v>2028</v>
      </c>
      <c r="B2077" s="2" t="str">
        <f>IFERROR(__xludf.DUMMYFUNCTION("GOOGLETRANSLATE(A2077, ""de"", ""uk"")"),"Просто подзвоніть у двері, щоб він відчинив вам.")</f>
        <v>Просто подзвоніть у двері, щоб він відчинив вам.</v>
      </c>
    </row>
    <row r="2078" ht="15.75" customHeight="1">
      <c r="A2078" s="4" t="s">
        <v>2029</v>
      </c>
      <c r="B2078" s="2" t="str">
        <f>IFERROR(__xludf.DUMMYFUNCTION("GOOGLETRANSLATE(A2078, ""de"", ""uk"")"),"Ми не здаємо цю квартиру.")</f>
        <v>Ми не здаємо цю квартиру.</v>
      </c>
    </row>
    <row r="2079" ht="15.75" customHeight="1">
      <c r="A2079" s="4" t="s">
        <v>2030</v>
      </c>
      <c r="B2079" s="2" t="str">
        <f>IFERROR(__xludf.DUMMYFUNCTION("GOOGLETRANSLATE(A2079, ""de"", ""uk"")"),"Він щоранку виносить сміття.")</f>
        <v>Він щоранку виносить сміття.</v>
      </c>
    </row>
    <row r="2080" ht="15.75" customHeight="1">
      <c r="A2080" s="4" t="s">
        <v>2031</v>
      </c>
      <c r="B2080" s="2" t="str">
        <f>IFERROR(__xludf.DUMMYFUNCTION("GOOGLETRANSLATE(A2080, ""de"", ""uk"")"),"Я хотів би пересунути диван.")</f>
        <v>Я хотів би пересунути диван.</v>
      </c>
    </row>
    <row r="2081" ht="15.75" customHeight="1">
      <c r="A2081" s="4" t="s">
        <v>2032</v>
      </c>
      <c r="B2081" s="2" t="str">
        <f>IFERROR(__xludf.DUMMYFUNCTION("GOOGLETRANSLATE(A2081, ""de"", ""uk"")"),"Ви можете замкнути туалет?")</f>
        <v>Ви можете замкнути туалет?</v>
      </c>
    </row>
    <row r="2082" ht="15.75" customHeight="1">
      <c r="A2082" s="4" t="s">
        <v>2033</v>
      </c>
      <c r="B2082" s="2" t="str">
        <f>IFERROR(__xludf.DUMMYFUNCTION("GOOGLETRANSLATE(A2082, ""de"", ""uk"")"),"Стілець зламався, скористайтеся іншим.")</f>
        <v>Стілець зламався, скористайтеся іншим.</v>
      </c>
    </row>
    <row r="2083" ht="15.75" customHeight="1">
      <c r="A2083" s="4" t="s">
        <v>2034</v>
      </c>
      <c r="B2083" s="2" t="str">
        <f>IFERROR(__xludf.DUMMYFUNCTION("GOOGLETRANSLATE(A2083, ""de"", ""uk"")"),"Тепер ми повинні почистити килим.")</f>
        <v>Тепер ми повинні почистити килим.</v>
      </c>
    </row>
    <row r="2084" ht="15.75" customHeight="1">
      <c r="A2084" s="4" t="s">
        <v>2035</v>
      </c>
      <c r="B2084" s="2" t="str">
        <f>IFERROR(__xludf.DUMMYFUNCTION("GOOGLETRANSLATE(A2084, ""de"", ""uk"")"),"Здаємо цю квартиру.")</f>
        <v>Здаємо цю квартиру.</v>
      </c>
    </row>
    <row r="2085" ht="15.75" customHeight="1">
      <c r="A2085" s="4" t="s">
        <v>2036</v>
      </c>
      <c r="B2085" s="2" t="str">
        <f>IFERROR(__xludf.DUMMYFUNCTION("GOOGLETRANSLATE(A2085, ""de"", ""uk"")"),"Чи може ваш чоловік змінити туалетний папір?")</f>
        <v>Чи може ваш чоловік змінити туалетний папір?</v>
      </c>
    </row>
    <row r="2086" ht="15.75" customHeight="1">
      <c r="A2086" s="4" t="s">
        <v>2037</v>
      </c>
      <c r="B2086" s="2" t="str">
        <f>IFERROR(__xludf.DUMMYFUNCTION("GOOGLETRANSLATE(A2086, ""de"", ""uk"")"),"Приймати душ краще, ніж купатися, тому що ви економите воду.")</f>
        <v>Приймати душ краще, ніж купатися, тому що ви економите воду.</v>
      </c>
    </row>
    <row r="2087" ht="15.75" customHeight="1">
      <c r="A2087" s="4" t="s">
        <v>2038</v>
      </c>
      <c r="B2087" s="2" t="str">
        <f>IFERROR(__xludf.DUMMYFUNCTION("GOOGLETRANSLATE(A2087, ""de"", ""uk"")"),"Для висихання білизни потрібні години.")</f>
        <v>Для висихання білизни потрібні години.</v>
      </c>
    </row>
    <row r="2088" ht="15.75" customHeight="1">
      <c r="A2088" s="4" t="s">
        <v>2039</v>
      </c>
      <c r="B2088" s="2" t="str">
        <f>IFERROR(__xludf.DUMMYFUNCTION("GOOGLETRANSLATE(A2088, ""de"", ""uk"")"),"Хто тут живе?")</f>
        <v>Хто тут живе?</v>
      </c>
    </row>
    <row r="2089" ht="15.75" customHeight="1">
      <c r="A2089" s="4" t="s">
        <v>2040</v>
      </c>
      <c r="B2089" s="2" t="str">
        <f>IFERROR(__xludf.DUMMYFUNCTION("GOOGLETRANSLATE(A2089, ""de"", ""uk"")"),"Ви можете випрати мою білизну?")</f>
        <v>Ви можете випрати мою білизну?</v>
      </c>
    </row>
    <row r="2090" ht="15.75" customHeight="1">
      <c r="A2090" s="4" t="s">
        <v>2041</v>
      </c>
      <c r="B2090" s="2" t="str">
        <f>IFERROR(__xludf.DUMMYFUNCTION("GOOGLETRANSLATE(A2090, ""de"", ""uk"")"),"Скільки часу нам знадобиться на ремонт?")</f>
        <v>Скільки часу нам знадобиться на ремонт?</v>
      </c>
    </row>
    <row r="2091" ht="15.75" customHeight="1">
      <c r="A2091" s="1" t="s">
        <v>2042</v>
      </c>
      <c r="B2091" s="2" t="str">
        <f>IFERROR(__xludf.DUMMYFUNCTION("GOOGLETRANSLATE(A2091, ""de"", ""uk"")"),"реліз")</f>
        <v>реліз</v>
      </c>
    </row>
    <row r="2092" ht="15.75" customHeight="1">
      <c r="A2092" s="1" t="s">
        <v>2043</v>
      </c>
      <c r="B2092" s="2" t="str">
        <f>IFERROR(__xludf.DUMMYFUNCTION("GOOGLETRANSLATE(A2092, ""de"", ""uk"")"),"знати")</f>
        <v>знати</v>
      </c>
    </row>
    <row r="2093" ht="15.75" customHeight="1">
      <c r="A2093" s="1" t="s">
        <v>2044</v>
      </c>
      <c r="B2093" s="2" t="str">
        <f>IFERROR(__xludf.DUMMYFUNCTION("GOOGLETRANSLATE(A2093, ""de"", ""uk"")"),"розпізнати")</f>
        <v>розпізнати</v>
      </c>
    </row>
    <row r="2094" ht="15.75" customHeight="1">
      <c r="A2094" s="1" t="s">
        <v>2045</v>
      </c>
      <c r="B2094" s="2" t="str">
        <f>IFERROR(__xludf.DUMMYFUNCTION("GOOGLETRANSLATE(A2094, ""de"", ""uk"")"),"розповідати")</f>
        <v>розповідати</v>
      </c>
    </row>
    <row r="2095" ht="15.75" customHeight="1">
      <c r="A2095" s="1" t="s">
        <v>2046</v>
      </c>
      <c r="B2095" s="2" t="str">
        <f>IFERROR(__xludf.DUMMYFUNCTION("GOOGLETRANSLATE(A2095, ""de"", ""uk"")"),"говорити")</f>
        <v>говорити</v>
      </c>
    </row>
    <row r="2096" ht="15.75" customHeight="1">
      <c r="A2096" s="1" t="s">
        <v>2047</v>
      </c>
      <c r="B2096" s="2" t="str">
        <f>IFERROR(__xludf.DUMMYFUNCTION("GOOGLETRANSLATE(A2096, ""de"", ""uk"")"),"поцілунок")</f>
        <v>поцілунок</v>
      </c>
    </row>
    <row r="2097" ht="15.75" customHeight="1">
      <c r="A2097" s="1" t="s">
        <v>2048</v>
      </c>
      <c r="B2097" s="2" t="str">
        <f>IFERROR(__xludf.DUMMYFUNCTION("GOOGLETRANSLATE(A2097, ""de"", ""uk"")"),"подивіться")</f>
        <v>подивіться</v>
      </c>
    </row>
    <row r="2098" ht="15.75" customHeight="1">
      <c r="A2098" s="1" t="s">
        <v>2049</v>
      </c>
      <c r="B2098" s="2" t="str">
        <f>IFERROR(__xludf.DUMMYFUNCTION("GOOGLETRANSLATE(A2098, ""de"", ""uk"")"),"виховувати")</f>
        <v>виховувати</v>
      </c>
    </row>
    <row r="2099" ht="15.75" customHeight="1">
      <c r="A2099" s="1" t="s">
        <v>2050</v>
      </c>
      <c r="B2099" s="2" t="str">
        <f>IFERROR(__xludf.DUMMYFUNCTION("GOOGLETRANSLATE(A2099, ""de"", ""uk"")"),"народитися")</f>
        <v>народитися</v>
      </c>
    </row>
    <row r="2100" ht="15.75" customHeight="1">
      <c r="A2100" s="1" t="s">
        <v>2051</v>
      </c>
      <c r="B2100" s="2" t="str">
        <f>IFERROR(__xludf.DUMMYFUNCTION("GOOGLETRANSLATE(A2100, ""de"", ""uk"")"),"життя")</f>
        <v>життя</v>
      </c>
    </row>
    <row r="2101" ht="15.75" customHeight="1">
      <c r="A2101" s="1" t="s">
        <v>2052</v>
      </c>
      <c r="B2101" s="2" t="str">
        <f>IFERROR(__xludf.DUMMYFUNCTION("GOOGLETRANSLATE(A2101, ""de"", ""uk"")"),"дозволяють")</f>
        <v>дозволяють</v>
      </c>
    </row>
    <row r="2102" ht="15.75" customHeight="1">
      <c r="A2102" s="1" t="s">
        <v>2053</v>
      </c>
      <c r="B2102" s="2" t="str">
        <f>IFERROR(__xludf.DUMMYFUNCTION("GOOGLETRANSLATE(A2102, ""de"", ""uk"")"),"досягти успіху")</f>
        <v>досягти успіху</v>
      </c>
    </row>
    <row r="2103" ht="15.75" customHeight="1">
      <c r="A2103" s="1" t="s">
        <v>2054</v>
      </c>
      <c r="B2103" s="2" t="str">
        <f>IFERROR(__xludf.DUMMYFUNCTION("GOOGLETRANSLATE(A2103, ""de"", ""uk"")"),"виклик")</f>
        <v>виклик</v>
      </c>
    </row>
    <row r="2104" ht="15.75" customHeight="1">
      <c r="A2104" s="1" t="s">
        <v>2055</v>
      </c>
      <c r="B2104" s="2" t="str">
        <f>IFERROR(__xludf.DUMMYFUNCTION("GOOGLETRANSLATE(A2104, ""de"", ""uk"")"),"доглядати")</f>
        <v>доглядати</v>
      </c>
    </row>
    <row r="2105" ht="15.75" customHeight="1">
      <c r="A2105" s="1" t="s">
        <v>2056</v>
      </c>
      <c r="B2105" s="2" t="str">
        <f>IFERROR(__xludf.DUMMYFUNCTION("GOOGLETRANSLATE(A2105, ""de"", ""uk"")"),"сім'я")</f>
        <v>сім'я</v>
      </c>
    </row>
    <row r="2106" ht="15.75" customHeight="1">
      <c r="A2106" s="1" t="s">
        <v>2057</v>
      </c>
      <c r="B2106" s="2" t="str">
        <f>IFERROR(__xludf.DUMMYFUNCTION("GOOGLETRANSLATE(A2106, ""de"", ""uk"")"),"дідусь і бабуся")</f>
        <v>дідусь і бабуся</v>
      </c>
    </row>
    <row r="2107" ht="15.75" customHeight="1">
      <c r="A2107" s="1" t="s">
        <v>2058</v>
      </c>
      <c r="B2107" s="2" t="str">
        <f>IFERROR(__xludf.DUMMYFUNCTION("GOOGLETRANSLATE(A2107, ""de"", ""uk"")"),"дід")</f>
        <v>дід</v>
      </c>
    </row>
    <row r="2108" ht="15.75" customHeight="1">
      <c r="A2108" s="1" t="s">
        <v>2059</v>
      </c>
      <c r="B2108" s="2" t="str">
        <f>IFERROR(__xludf.DUMMYFUNCTION("GOOGLETRANSLATE(A2108, ""de"", ""uk"")"),"бабуся")</f>
        <v>бабуся</v>
      </c>
    </row>
    <row r="2109" ht="15.75" customHeight="1">
      <c r="A2109" s="1" t="s">
        <v>2060</v>
      </c>
      <c r="B2109" s="2" t="str">
        <f>IFERROR(__xludf.DUMMYFUNCTION("GOOGLETRANSLATE(A2109, ""de"", ""uk"")"),"батьки")</f>
        <v>батьки</v>
      </c>
    </row>
    <row r="2110" ht="15.75" customHeight="1">
      <c r="A2110" s="1" t="s">
        <v>2061</v>
      </c>
      <c r="B2110" s="2" t="str">
        <f>IFERROR(__xludf.DUMMYFUNCTION("GOOGLETRANSLATE(A2110, ""de"", ""uk"")"),"батько")</f>
        <v>батько</v>
      </c>
    </row>
    <row r="2111" ht="15.75" customHeight="1">
      <c r="A2111" s="1" t="s">
        <v>2062</v>
      </c>
      <c r="B2111" s="2" t="str">
        <f>IFERROR(__xludf.DUMMYFUNCTION("GOOGLETRANSLATE(A2111, ""de"", ""uk"")"),"мати")</f>
        <v>мати</v>
      </c>
    </row>
    <row r="2112" ht="15.75" customHeight="1">
      <c r="A2112" s="1" t="s">
        <v>2063</v>
      </c>
      <c r="B2112" s="2" t="str">
        <f>IFERROR(__xludf.DUMMYFUNCTION("GOOGLETRANSLATE(A2112, ""de"", ""uk"")"),"син")</f>
        <v>син</v>
      </c>
    </row>
    <row r="2113" ht="15.75" customHeight="1">
      <c r="A2113" s="1" t="s">
        <v>2064</v>
      </c>
      <c r="B2113" s="2" t="str">
        <f>IFERROR(__xludf.DUMMYFUNCTION("GOOGLETRANSLATE(A2113, ""de"", ""uk"")"),"дочка")</f>
        <v>дочка</v>
      </c>
    </row>
    <row r="2114" ht="15.75" customHeight="1">
      <c r="A2114" s="1" t="s">
        <v>2065</v>
      </c>
      <c r="B2114" s="2" t="str">
        <f>IFERROR(__xludf.DUMMYFUNCTION("GOOGLETRANSLATE(A2114, ""de"", ""uk"")"),"тато")</f>
        <v>тато</v>
      </c>
    </row>
    <row r="2115" ht="15.75" customHeight="1">
      <c r="A2115" s="1" t="s">
        <v>2066</v>
      </c>
      <c r="B2115" s="2" t="str">
        <f>IFERROR(__xludf.DUMMYFUNCTION("GOOGLETRANSLATE(A2115, ""de"", ""uk"")"),"мама")</f>
        <v>мама</v>
      </c>
    </row>
    <row r="2116" ht="15.75" customHeight="1">
      <c r="A2116" s="1" t="s">
        <v>2067</v>
      </c>
      <c r="B2116" s="2" t="str">
        <f>IFERROR(__xludf.DUMMYFUNCTION("GOOGLETRANSLATE(A2116, ""de"", ""uk"")"),"брати і сестри")</f>
        <v>брати і сестри</v>
      </c>
    </row>
    <row r="2117" ht="15.75" customHeight="1">
      <c r="A2117" s="1" t="s">
        <v>2068</v>
      </c>
      <c r="B2117" s="2" t="str">
        <f>IFERROR(__xludf.DUMMYFUNCTION("GOOGLETRANSLATE(A2117, ""de"", ""uk"")"),"брат")</f>
        <v>брат</v>
      </c>
    </row>
    <row r="2118" ht="15.75" customHeight="1">
      <c r="A2118" s="1" t="s">
        <v>2069</v>
      </c>
      <c r="B2118" s="2" t="str">
        <f>IFERROR(__xludf.DUMMYFUNCTION("GOOGLETRANSLATE(A2118, ""de"", ""uk"")"),"сестра")</f>
        <v>сестра</v>
      </c>
    </row>
    <row r="2119" ht="15.75" customHeight="1">
      <c r="A2119" s="1" t="s">
        <v>2070</v>
      </c>
      <c r="B2119" s="2" t="str">
        <f>IFERROR(__xludf.DUMMYFUNCTION("GOOGLETRANSLATE(A2119, ""de"", ""uk"")"),"тітка")</f>
        <v>тітка</v>
      </c>
    </row>
    <row r="2120" ht="15.75" customHeight="1">
      <c r="A2120" s="1" t="s">
        <v>2071</v>
      </c>
      <c r="B2120" s="2" t="str">
        <f>IFERROR(__xludf.DUMMYFUNCTION("GOOGLETRANSLATE(A2120, ""de"", ""uk"")"),"дядько")</f>
        <v>дядько</v>
      </c>
    </row>
    <row r="2121" ht="15.75" customHeight="1">
      <c r="A2121" s="1" t="s">
        <v>2072</v>
      </c>
      <c r="B2121" s="2" t="str">
        <f>IFERROR(__xludf.DUMMYFUNCTION("GOOGLETRANSLATE(A2121, ""de"", ""uk"")"),"двоюрідний брат")</f>
        <v>двоюрідний брат</v>
      </c>
    </row>
    <row r="2122" ht="15.75" customHeight="1">
      <c r="A2122" s="1" t="s">
        <v>2073</v>
      </c>
      <c r="B2122" s="2" t="str">
        <f>IFERROR(__xludf.DUMMYFUNCTION("GOOGLETRANSLATE(A2122, ""de"", ""uk"")"),"двоюрідний брат")</f>
        <v>двоюрідний брат</v>
      </c>
    </row>
    <row r="2123" ht="15.75" customHeight="1">
      <c r="A2123" s="1" t="s">
        <v>2074</v>
      </c>
      <c r="B2123" s="2" t="str">
        <f>IFERROR(__xludf.DUMMYFUNCTION("GOOGLETRANSLATE(A2123, ""de"", ""uk"")"),"пара")</f>
        <v>пара</v>
      </c>
    </row>
    <row r="2124" ht="15.75" customHeight="1">
      <c r="A2124" s="1" t="s">
        <v>74</v>
      </c>
      <c r="B2124" s="2" t="str">
        <f>IFERROR(__xludf.DUMMYFUNCTION("GOOGLETRANSLATE(A2124, ""de"", ""uk"")"),"чоловік")</f>
        <v>чоловік</v>
      </c>
    </row>
    <row r="2125" ht="15.75" customHeight="1">
      <c r="A2125" s="1" t="s">
        <v>73</v>
      </c>
      <c r="B2125" s="2" t="str">
        <f>IFERROR(__xludf.DUMMYFUNCTION("GOOGLETRANSLATE(A2125, ""de"", ""uk"")"),"жінка")</f>
        <v>жінка</v>
      </c>
    </row>
    <row r="2126" ht="15.75" customHeight="1">
      <c r="A2126" s="1" t="s">
        <v>2075</v>
      </c>
      <c r="B2126" s="2" t="str">
        <f>IFERROR(__xludf.DUMMYFUNCTION("GOOGLETRANSLATE(A2126, ""de"", ""uk"")"),"друг")</f>
        <v>друг</v>
      </c>
    </row>
    <row r="2127" ht="15.75" customHeight="1">
      <c r="A2127" s="1" t="s">
        <v>2076</v>
      </c>
      <c r="B2127" s="2" t="str">
        <f>IFERROR(__xludf.DUMMYFUNCTION("GOOGLETRANSLATE(A2127, ""de"", ""uk"")"),"подруга")</f>
        <v>подруга</v>
      </c>
    </row>
    <row r="2128" ht="15.75" customHeight="1">
      <c r="A2128" s="1" t="s">
        <v>2077</v>
      </c>
      <c r="B2128" s="2" t="str">
        <f>IFERROR(__xludf.DUMMYFUNCTION("GOOGLETRANSLATE(A2128, ""de"", ""uk"")"),"партнер")</f>
        <v>партнер</v>
      </c>
    </row>
    <row r="2129" ht="15.75" customHeight="1">
      <c r="A2129" s="1" t="s">
        <v>2078</v>
      </c>
      <c r="B2129" s="2" t="str">
        <f>IFERROR(__xludf.DUMMYFUNCTION("GOOGLETRANSLATE(A2129, ""de"", ""uk"")"),"партнер")</f>
        <v>партнер</v>
      </c>
    </row>
    <row r="2130" ht="15.75" customHeight="1">
      <c r="A2130" s="1" t="s">
        <v>2079</v>
      </c>
      <c r="B2130" s="2" t="str">
        <f>IFERROR(__xludf.DUMMYFUNCTION("GOOGLETRANSLATE(A2130, ""de"", ""uk"")"),"народ")</f>
        <v>народ</v>
      </c>
    </row>
    <row r="2131" ht="15.75" customHeight="1">
      <c r="A2131" s="1" t="s">
        <v>2080</v>
      </c>
      <c r="B2131" s="2" t="str">
        <f>IFERROR(__xludf.DUMMYFUNCTION("GOOGLETRANSLATE(A2131, ""de"", ""uk"")"),"Господь")</f>
        <v>Господь</v>
      </c>
    </row>
    <row r="2132" ht="15.75" customHeight="1">
      <c r="A2132" s="1" t="s">
        <v>2081</v>
      </c>
      <c r="B2132" s="2" t="str">
        <f>IFERROR(__xludf.DUMMYFUNCTION("GOOGLETRANSLATE(A2132, ""de"", ""uk"")"),"дитина")</f>
        <v>дитина</v>
      </c>
    </row>
    <row r="2133" ht="15.75" customHeight="1">
      <c r="A2133" s="1" t="s">
        <v>2082</v>
      </c>
      <c r="B2133" s="2" t="str">
        <f>IFERROR(__xludf.DUMMYFUNCTION("GOOGLETRANSLATE(A2133, ""de"", ""uk"")"),"дорослий(и).")</f>
        <v>дорослий(и).</v>
      </c>
    </row>
    <row r="2134" ht="15.75" customHeight="1">
      <c r="A2134" s="1" t="s">
        <v>2083</v>
      </c>
      <c r="B2134" s="2" t="str">
        <f>IFERROR(__xludf.DUMMYFUNCTION("GOOGLETRANSLATE(A2134, ""de"", ""uk"")"),"молода особа/молодь")</f>
        <v>молода особа/молодь</v>
      </c>
    </row>
    <row r="2135" ht="15.75" customHeight="1">
      <c r="A2135" s="1" t="s">
        <v>2084</v>
      </c>
      <c r="B2135" s="2" t="str">
        <f>IFERROR(__xludf.DUMMYFUNCTION("GOOGLETRANSLATE(A2135, ""de"", ""uk"")"),"розмова")</f>
        <v>розмова</v>
      </c>
    </row>
    <row r="2136" ht="15.75" customHeight="1">
      <c r="A2136" s="1" t="s">
        <v>2085</v>
      </c>
      <c r="B2136" s="2" t="str">
        <f>IFERROR(__xludf.DUMMYFUNCTION("GOOGLETRANSLATE(A2136, ""de"", ""uk"")"),"коляска")</f>
        <v>коляска</v>
      </c>
    </row>
    <row r="2137" ht="15.75" customHeight="1">
      <c r="A2137" s="1" t="s">
        <v>2086</v>
      </c>
      <c r="B2137" s="2" t="str">
        <f>IFERROR(__xludf.DUMMYFUNCTION("GOOGLETRANSLATE(A2137, ""de"", ""uk"")"),"поцілунок")</f>
        <v>поцілунок</v>
      </c>
    </row>
    <row r="2138" ht="15.75" customHeight="1">
      <c r="A2138" s="1" t="s">
        <v>2087</v>
      </c>
      <c r="B2138" s="2" t="str">
        <f>IFERROR(__xludf.DUMMYFUNCTION("GOOGLETRANSLATE(A2138, ""de"", ""uk"")"),"весілля")</f>
        <v>весілля</v>
      </c>
    </row>
    <row r="2139" ht="15.75" customHeight="1">
      <c r="A2139" s="1" t="s">
        <v>2088</v>
      </c>
      <c r="B2139" s="2" t="str">
        <f>IFERROR(__xludf.DUMMYFUNCTION("GOOGLETRANSLATE(A2139, ""de"", ""uk"")"),"життя")</f>
        <v>життя</v>
      </c>
    </row>
    <row r="2140" ht="15.75" customHeight="1">
      <c r="A2140" s="1" t="s">
        <v>2089</v>
      </c>
      <c r="B2140" s="2" t="str">
        <f>IFERROR(__xludf.DUMMYFUNCTION("GOOGLETRANSLATE(A2140, ""de"", ""uk"")"),"людська істота")</f>
        <v>людська істота</v>
      </c>
    </row>
    <row r="2141" ht="15.75" customHeight="1">
      <c r="A2141" s="1" t="s">
        <v>2090</v>
      </c>
      <c r="B2141" s="2" t="str">
        <f>IFERROR(__xludf.DUMMYFUNCTION("GOOGLETRANSLATE(A2141, ""de"", ""uk"")"),"історія")</f>
        <v>історія</v>
      </c>
    </row>
    <row r="2142" ht="15.75" customHeight="1">
      <c r="A2142" s="1" t="s">
        <v>2091</v>
      </c>
      <c r="B2142" s="2" t="str">
        <f>IFERROR(__xludf.DUMMYFUNCTION("GOOGLETRANSLATE(A2142, ""de"", ""uk"")"),"група")</f>
        <v>група</v>
      </c>
    </row>
    <row r="2143" ht="15.75" customHeight="1">
      <c r="A2143" s="1" t="s">
        <v>2092</v>
      </c>
      <c r="B2143" s="2" t="str">
        <f>IFERROR(__xludf.DUMMYFUNCTION("GOOGLETRANSLATE(A2143, ""de"", ""uk"")"),"няня")</f>
        <v>няня</v>
      </c>
    </row>
    <row r="2144" ht="15.75" customHeight="1">
      <c r="A2144" s="1" t="s">
        <v>2093</v>
      </c>
      <c r="B2144" s="2" t="str">
        <f>IFERROR(__xludf.DUMMYFUNCTION("GOOGLETRANSLATE(A2144, ""de"", ""uk"")"),"контакт")</f>
        <v>контакт</v>
      </c>
    </row>
    <row r="2145" ht="15.75" customHeight="1">
      <c r="A2145" s="1" t="s">
        <v>2094</v>
      </c>
      <c r="B2145" s="2" t="str">
        <f>IFERROR(__xludf.DUMMYFUNCTION("GOOGLETRANSLATE(A2145, ""de"", ""uk"")"),"знайомий/знайомий")</f>
        <v>знайомий/знайомий</v>
      </c>
    </row>
    <row r="2146" ht="15.75" customHeight="1">
      <c r="A2146" s="1" t="s">
        <v>2095</v>
      </c>
      <c r="B2146" s="2" t="str">
        <f>IFERROR(__xludf.DUMMYFUNCTION("GOOGLETRANSLATE(A2146, ""de"", ""uk"")"),"родичі")</f>
        <v>родичі</v>
      </c>
    </row>
    <row r="2147" ht="15.75" customHeight="1">
      <c r="A2147" s="1" t="s">
        <v>2096</v>
      </c>
      <c r="B2147" s="2" t="str">
        <f>IFERROR(__xludf.DUMMYFUNCTION("GOOGLETRANSLATE(A2147, ""de"", ""uk"")"),"місце зустрічі")</f>
        <v>місце зустрічі</v>
      </c>
    </row>
    <row r="2148" ht="15.75" customHeight="1">
      <c r="A2148" s="1" t="s">
        <v>2097</v>
      </c>
      <c r="B2148" s="2" t="str">
        <f>IFERROR(__xludf.DUMMYFUNCTION("GOOGLETRANSLATE(A2148, ""de"", ""uk"")"),"хтось")</f>
        <v>хтось</v>
      </c>
    </row>
    <row r="2149" ht="15.75" customHeight="1">
      <c r="A2149" s="1" t="s">
        <v>2098</v>
      </c>
      <c r="B2149" s="2" t="str">
        <f>IFERROR(__xludf.DUMMYFUNCTION("GOOGLETRANSLATE(A2149, ""de"", ""uk"")"),"інші")</f>
        <v>інші</v>
      </c>
    </row>
    <row r="2150" ht="15.75" customHeight="1">
      <c r="A2150" s="1" t="s">
        <v>2099</v>
      </c>
      <c r="B2150" s="2" t="str">
        <f>IFERROR(__xludf.DUMMYFUNCTION("GOOGLETRANSLATE(A2150, ""de"", ""uk"")"),"навіть")</f>
        <v>навіть</v>
      </c>
    </row>
    <row r="2151" ht="15.75" customHeight="1">
      <c r="A2151" s="1" t="s">
        <v>2100</v>
      </c>
      <c r="B2151" s="2" t="str">
        <f>IFERROR(__xludf.DUMMYFUNCTION("GOOGLETRANSLATE(A2151, ""de"", ""uk"")"),"молодий")</f>
        <v>молодий</v>
      </c>
    </row>
    <row r="2152" ht="15.75" customHeight="1">
      <c r="A2152" s="1" t="s">
        <v>881</v>
      </c>
      <c r="B2152" s="2" t="str">
        <f>IFERROR(__xludf.DUMMYFUNCTION("GOOGLETRANSLATE(A2152, ""de"", ""uk"")"),"старий")</f>
        <v>старий</v>
      </c>
    </row>
    <row r="2153" ht="15.75" customHeight="1">
      <c r="A2153" s="1" t="s">
        <v>31</v>
      </c>
      <c r="B2153" s="2" t="str">
        <f>IFERROR(__xludf.DUMMYFUNCTION("GOOGLETRANSLATE(A2153, ""de"", ""uk"")"),"приємно")</f>
        <v>приємно</v>
      </c>
    </row>
    <row r="2154" ht="15.75" customHeight="1">
      <c r="A2154" s="1" t="s">
        <v>2101</v>
      </c>
      <c r="B2154" s="2" t="str">
        <f>IFERROR(__xludf.DUMMYFUNCTION("GOOGLETRANSLATE(A2154, ""de"", ""uk"")"),"потворний")</f>
        <v>потворний</v>
      </c>
    </row>
    <row r="2155" ht="15.75" customHeight="1">
      <c r="A2155" s="1" t="s">
        <v>2102</v>
      </c>
      <c r="B2155" s="2" t="str">
        <f>IFERROR(__xludf.DUMMYFUNCTION("GOOGLETRANSLATE(A2155, ""de"", ""uk"")"),"багатий")</f>
        <v>багатий</v>
      </c>
    </row>
    <row r="2156" ht="15.75" customHeight="1">
      <c r="A2156" s="1" t="s">
        <v>2103</v>
      </c>
      <c r="B2156" s="2" t="str">
        <f>IFERROR(__xludf.DUMMYFUNCTION("GOOGLETRANSLATE(A2156, ""de"", ""uk"")"),"рука")</f>
        <v>рука</v>
      </c>
    </row>
    <row r="2157" ht="15.75" customHeight="1">
      <c r="A2157" s="1" t="s">
        <v>2104</v>
      </c>
      <c r="B2157" s="2" t="str">
        <f>IFERROR(__xludf.DUMMYFUNCTION("GOOGLETRANSLATE(A2157, ""de"", ""uk"")"),"сильний")</f>
        <v>сильний</v>
      </c>
    </row>
    <row r="2158" ht="15.75" customHeight="1">
      <c r="A2158" s="1" t="s">
        <v>2105</v>
      </c>
      <c r="B2158" s="2" t="str">
        <f>IFERROR(__xludf.DUMMYFUNCTION("GOOGLETRANSLATE(A2158, ""de"", ""uk"")"),"слабкий")</f>
        <v>слабкий</v>
      </c>
    </row>
    <row r="2159" ht="15.75" customHeight="1">
      <c r="A2159" s="1" t="s">
        <v>2106</v>
      </c>
      <c r="B2159" s="2" t="str">
        <f>IFERROR(__xludf.DUMMYFUNCTION("GOOGLETRANSLATE(A2159, ""de"", ""uk"")"),"поодинці")</f>
        <v>поодинці</v>
      </c>
    </row>
    <row r="2160" ht="15.75" customHeight="1">
      <c r="A2160" s="1" t="s">
        <v>2107</v>
      </c>
      <c r="B2160" s="2" t="str">
        <f>IFERROR(__xludf.DUMMYFUNCTION("GOOGLETRANSLATE(A2160, ""de"", ""uk"")"),"разом")</f>
        <v>разом</v>
      </c>
    </row>
    <row r="2161" ht="15.75" customHeight="1">
      <c r="A2161" s="1" t="s">
        <v>2108</v>
      </c>
      <c r="B2161" s="2" t="str">
        <f>IFERROR(__xludf.DUMMYFUNCTION("GOOGLETRANSLATE(A2161, ""de"", ""uk"")"),"закоханий")</f>
        <v>закоханий</v>
      </c>
    </row>
    <row r="2162" ht="15.75" customHeight="1">
      <c r="A2162" s="1" t="s">
        <v>2106</v>
      </c>
      <c r="B2162" s="2" t="str">
        <f>IFERROR(__xludf.DUMMYFUNCTION("GOOGLETRANSLATE(A2162, ""de"", ""uk"")"),"поодинці")</f>
        <v>поодинці</v>
      </c>
    </row>
    <row r="2163" ht="15.75" customHeight="1">
      <c r="A2163" s="1" t="s">
        <v>879</v>
      </c>
      <c r="B2163" s="2" t="str">
        <f>IFERROR(__xludf.DUMMYFUNCTION("GOOGLETRANSLATE(A2163, ""de"", ""uk"")"),"різні")</f>
        <v>різні</v>
      </c>
    </row>
    <row r="2164" ht="15.75" customHeight="1">
      <c r="A2164" s="1" t="s">
        <v>2109</v>
      </c>
      <c r="B2164" s="2" t="str">
        <f>IFERROR(__xludf.DUMMYFUNCTION("GOOGLETRANSLATE(A2164, ""de"", ""uk"")"),"відомий")</f>
        <v>відомий</v>
      </c>
    </row>
    <row r="2165" ht="15.75" customHeight="1">
      <c r="A2165" s="1" t="s">
        <v>2110</v>
      </c>
      <c r="B2165" s="2" t="str">
        <f>IFERROR(__xludf.DUMMYFUNCTION("GOOGLETRANSLATE(A2165, ""de"", ""uk"")"),"відомий")</f>
        <v>відомий</v>
      </c>
    </row>
    <row r="2166" ht="15.75" customHeight="1">
      <c r="A2166" s="1" t="s">
        <v>2111</v>
      </c>
      <c r="B2166" s="2" t="str">
        <f>IFERROR(__xludf.DUMMYFUNCTION("GOOGLETRANSLATE(A2166, ""de"", ""uk"")"),"іноземні")</f>
        <v>іноземні</v>
      </c>
    </row>
    <row r="2167" ht="15.75" customHeight="1">
      <c r="A2167" s="1" t="s">
        <v>2112</v>
      </c>
      <c r="B2167" s="2" t="str">
        <f>IFERROR(__xludf.DUMMYFUNCTION("GOOGLETRANSLATE(A2167, ""de"", ""uk"")"),"вагітна")</f>
        <v>вагітна</v>
      </c>
    </row>
    <row r="2168" ht="15.75" customHeight="1">
      <c r="A2168" s="4" t="s">
        <v>2113</v>
      </c>
      <c r="B2168" s="2" t="str">
        <f>IFERROR(__xludf.DUMMYFUNCTION("GOOGLETRANSLATE(A2168, ""de"", ""uk"")"),"Моя сім'я дуже важлива для мене.")</f>
        <v>Моя сім'я дуже важлива для мене.</v>
      </c>
    </row>
    <row r="2169" ht="15.75" customHeight="1">
      <c r="A2169" s="4" t="s">
        <v>2114</v>
      </c>
      <c r="B2169" s="2" t="str">
        <f>IFERROR(__xludf.DUMMYFUNCTION("GOOGLETRANSLATE(A2169, ""de"", ""uk"")"),"Мої дідусь і бабуся дуже старі.")</f>
        <v>Мої дідусь і бабуся дуже старі.</v>
      </c>
    </row>
    <row r="2170" ht="15.75" customHeight="1">
      <c r="A2170" s="4" t="s">
        <v>2115</v>
      </c>
      <c r="B2170" s="2" t="str">
        <f>IFERROR(__xludf.DUMMYFUNCTION("GOOGLETRANSLATE(A2170, ""de"", ""uk"")"),"Мій дідусь уже не може ходити.")</f>
        <v>Мій дідусь уже не може ходити.</v>
      </c>
    </row>
    <row r="2171" ht="15.75" customHeight="1">
      <c r="A2171" s="4" t="s">
        <v>2116</v>
      </c>
      <c r="B2171" s="2" t="str">
        <f>IFERROR(__xludf.DUMMYFUNCTION("GOOGLETRANSLATE(A2171, ""de"", ""uk"")"),"Ваша бабуся все ще виглядає дуже молодою.")</f>
        <v>Ваша бабуся все ще виглядає дуже молодою.</v>
      </c>
    </row>
    <row r="2172" ht="15.75" customHeight="1">
      <c r="A2172" s="4" t="s">
        <v>2117</v>
      </c>
      <c r="B2172" s="2" t="str">
        <f>IFERROR(__xludf.DUMMYFUNCTION("GOOGLETRANSLATE(A2172, ""de"", ""uk"")"),"Батьки моєї дівчини мене не люблять.")</f>
        <v>Батьки моєї дівчини мене не люблять.</v>
      </c>
    </row>
    <row r="2173" ht="15.75" customHeight="1">
      <c r="A2173" s="4" t="s">
        <v>2118</v>
      </c>
      <c r="B2173" s="2" t="str">
        <f>IFERROR(__xludf.DUMMYFUNCTION("GOOGLETRANSLATE(A2173, ""de"", ""uk"")"),"Я не хочу говорити з твоїм батьком.")</f>
        <v>Я не хочу говорити з твоїм батьком.</v>
      </c>
    </row>
    <row r="2174" ht="15.75" customHeight="1">
      <c r="A2174" s="4" t="s">
        <v>2119</v>
      </c>
      <c r="B2174" s="2" t="str">
        <f>IFERROR(__xludf.DUMMYFUNCTION("GOOGLETRANSLATE(A2174, ""de"", ""uk"")"),"Моя мама знову вагітна.")</f>
        <v>Моя мама знову вагітна.</v>
      </c>
    </row>
    <row r="2175" ht="15.75" customHeight="1">
      <c r="A2175" s="4" t="s">
        <v>2120</v>
      </c>
      <c r="B2175" s="2" t="str">
        <f>IFERROR(__xludf.DUMMYFUNCTION("GOOGLETRANSLATE(A2175, ""de"", ""uk"")"),"Ваш син багато їсть.")</f>
        <v>Ваш син багато їсть.</v>
      </c>
    </row>
    <row r="2176" ht="15.75" customHeight="1">
      <c r="A2176" s="4" t="s">
        <v>2121</v>
      </c>
      <c r="B2176" s="2" t="str">
        <f>IFERROR(__xludf.DUMMYFUNCTION("GOOGLETRANSLATE(A2176, ""de"", ""uk"")"),"Наша дочка їде в Дрезден на машині.")</f>
        <v>Наша дочка їде в Дрезден на машині.</v>
      </c>
    </row>
    <row r="2177" ht="15.75" customHeight="1">
      <c r="A2177" s="4" t="s">
        <v>2122</v>
      </c>
      <c r="B2177" s="2" t="str">
        <f>IFERROR(__xludf.DUMMYFUNCTION("GOOGLETRANSLATE(A2177, ""de"", ""uk"")"),"Мій тато найкращий.")</f>
        <v>Мій тато найкращий.</v>
      </c>
    </row>
    <row r="2178" ht="15.75" customHeight="1">
      <c r="A2178" s="4" t="s">
        <v>2123</v>
      </c>
      <c r="B2178" s="2" t="str">
        <f>IFERROR(__xludf.DUMMYFUNCTION("GOOGLETRANSLATE(A2178, ""de"", ""uk"")"),"Я люблю свою маму.")</f>
        <v>Я люблю свою маму.</v>
      </c>
    </row>
    <row r="2179" ht="15.75" customHeight="1">
      <c r="A2179" s="4" t="s">
        <v>2124</v>
      </c>
      <c r="B2179" s="2" t="str">
        <f>IFERROR(__xludf.DUMMYFUNCTION("GOOGLETRANSLATE(A2179, ""de"", ""uk"")"),"Брати і сестри не люблять один одного.")</f>
        <v>Брати і сестри не люблять один одного.</v>
      </c>
    </row>
    <row r="2180" ht="15.75" customHeight="1">
      <c r="A2180" s="4" t="s">
        <v>2125</v>
      </c>
      <c r="B2180" s="2" t="str">
        <f>IFERROR(__xludf.DUMMYFUNCTION("GOOGLETRANSLATE(A2180, ""de"", ""uk"")"),"Це твій брат?")</f>
        <v>Це твій брат?</v>
      </c>
    </row>
    <row r="2181" ht="15.75" customHeight="1">
      <c r="A2181" s="4" t="s">
        <v>2126</v>
      </c>
      <c r="B2181" s="2" t="str">
        <f>IFERROR(__xludf.DUMMYFUNCTION("GOOGLETRANSLATE(A2181, ""de"", ""uk"")"),"Мою сестру звуть Монік.")</f>
        <v>Мою сестру звуть Монік.</v>
      </c>
    </row>
    <row r="2182" ht="15.75" customHeight="1">
      <c r="A2182" s="4" t="s">
        <v>2127</v>
      </c>
      <c r="B2182" s="2" t="str">
        <f>IFERROR(__xludf.DUMMYFUNCTION("GOOGLETRANSLATE(A2182, ""de"", ""uk"")"),"Його тітці сорок років.")</f>
        <v>Його тітці сорок років.</v>
      </c>
    </row>
    <row r="2183" ht="15.75" customHeight="1">
      <c r="A2183" s="4" t="s">
        <v>2128</v>
      </c>
      <c r="B2183" s="2" t="str">
        <f>IFERROR(__xludf.DUMMYFUNCTION("GOOGLETRANSLATE(A2183, ""de"", ""uk"")"),"Мій дядько - батько мого двоюрідного брата.")</f>
        <v>Мій дядько - батько мого двоюрідного брата.</v>
      </c>
    </row>
    <row r="2184" ht="15.75" customHeight="1">
      <c r="A2184" s="4" t="s">
        <v>2129</v>
      </c>
      <c r="B2184" s="2" t="str">
        <f>IFERROR(__xludf.DUMMYFUNCTION("GOOGLETRANSLATE(A2184, ""de"", ""uk"")"),"Мій двоюрідний брат – син моєї тітки.")</f>
        <v>Мій двоюрідний брат – син моєї тітки.</v>
      </c>
    </row>
    <row r="2185" ht="15.75" customHeight="1">
      <c r="A2185" s="4" t="s">
        <v>2130</v>
      </c>
      <c r="B2185" s="2" t="str">
        <f>IFERROR(__xludf.DUMMYFUNCTION("GOOGLETRANSLATE(A2185, ""de"", ""uk"")"),"Моя двоюрідна сестра — дочка мого дядька.")</f>
        <v>Моя двоюрідна сестра — дочка мого дядька.</v>
      </c>
    </row>
    <row r="2186" ht="15.75" customHeight="1">
      <c r="A2186" s="4" t="s">
        <v>2131</v>
      </c>
      <c r="B2186" s="2" t="str">
        <f>IFERROR(__xludf.DUMMYFUNCTION("GOOGLETRANSLATE(A2186, ""de"", ""uk"")"),"Вони вже тридцять років у шлюбі.")</f>
        <v>Вони вже тридцять років у шлюбі.</v>
      </c>
    </row>
    <row r="2187" ht="15.75" customHeight="1">
      <c r="A2187" s="4" t="s">
        <v>2132</v>
      </c>
      <c r="B2187" s="2" t="str">
        <f>IFERROR(__xludf.DUMMYFUNCTION("GOOGLETRANSLATE(A2187, ""de"", ""uk"")"),"Мій чоловік знову закохався.")</f>
        <v>Мій чоловік знову закохався.</v>
      </c>
    </row>
    <row r="2188" ht="15.75" customHeight="1">
      <c r="A2188" s="4" t="s">
        <v>2133</v>
      </c>
      <c r="B2188" s="2" t="str">
        <f>IFERROR(__xludf.DUMMYFUNCTION("GOOGLETRANSLATE(A2188, ""de"", ""uk"")"),"Його дружина дуже багата.")</f>
        <v>Його дружина дуже багата.</v>
      </c>
    </row>
    <row r="2189" ht="15.75" customHeight="1">
      <c r="A2189" s="4" t="s">
        <v>2134</v>
      </c>
      <c r="B2189" s="2" t="str">
        <f>IFERROR(__xludf.DUMMYFUNCTION("GOOGLETRANSLATE(A2189, ""de"", ""uk"")"),"Її хлопець потворний, але багатий.")</f>
        <v>Її хлопець потворний, але багатий.</v>
      </c>
    </row>
    <row r="2190" ht="15.75" customHeight="1">
      <c r="A2190" s="4" t="s">
        <v>2135</v>
      </c>
      <c r="B2190" s="2" t="str">
        <f>IFERROR(__xludf.DUMMYFUNCTION("GOOGLETRANSLATE(A2190, ""de"", ""uk"")"),"Красива жінка попереду - моя дівчина.")</f>
        <v>Красива жінка попереду - моя дівчина.</v>
      </c>
    </row>
    <row r="2191" ht="15.75" customHeight="1">
      <c r="A2191" s="4" t="s">
        <v>2136</v>
      </c>
      <c r="B2191" s="2" t="str">
        <f>IFERROR(__xludf.DUMMYFUNCTION("GOOGLETRANSLATE(A2191, ""de"", ""uk"")"),"Шукаю партнера.")</f>
        <v>Шукаю партнера.</v>
      </c>
    </row>
    <row r="2192" ht="15.75" customHeight="1">
      <c r="A2192" s="4" t="s">
        <v>2137</v>
      </c>
      <c r="B2192" s="2" t="str">
        <f>IFERROR(__xludf.DUMMYFUNCTION("GOOGLETRANSLATE(A2192, ""de"", ""uk"")"),"У вас є партнер?")</f>
        <v>У вас є партнер?</v>
      </c>
    </row>
    <row r="2193" ht="15.75" customHeight="1">
      <c r="A2193" s="4" t="s">
        <v>2138</v>
      </c>
      <c r="B2193" s="2" t="str">
        <f>IFERROR(__xludf.DUMMYFUNCTION("GOOGLETRANSLATE(A2193, ""de"", ""uk"")"),"Люди хочуть більше грошей.")</f>
        <v>Люди хочуть більше грошей.</v>
      </c>
    </row>
    <row r="2194" ht="15.75" customHeight="1">
      <c r="A2194" s="4" t="s">
        <v>2139</v>
      </c>
      <c r="B2194" s="2" t="str">
        <f>IFERROR(__xludf.DUMMYFUNCTION("GOOGLETRANSLATE(A2194, ""de"", ""uk"")"),"Чи можу я вам допомогти, сер?")</f>
        <v>Чи можу я вам допомогти, сер?</v>
      </c>
    </row>
    <row r="2195" ht="15.75" customHeight="1">
      <c r="A2195" s="4" t="s">
        <v>2140</v>
      </c>
      <c r="B2195" s="2" t="str">
        <f>IFERROR(__xludf.DUMMYFUNCTION("GOOGLETRANSLATE(A2195, ""de"", ""uk"")"),"Але це гарна дитина.")</f>
        <v>Але це гарна дитина.</v>
      </c>
    </row>
    <row r="2196" ht="15.75" customHeight="1">
      <c r="A2196" s="4" t="s">
        <v>2141</v>
      </c>
      <c r="B2196" s="2" t="str">
        <f>IFERROR(__xludf.DUMMYFUNCTION("GOOGLETRANSLATE(A2196, ""de"", ""uk"")"),"Дорослий вік старше вісімнадцяти років.")</f>
        <v>Дорослий вік старше вісімнадцяти років.</v>
      </c>
    </row>
    <row r="2197" ht="15.75" customHeight="1">
      <c r="A2197" s="4" t="s">
        <v>2142</v>
      </c>
      <c r="B2197" s="2" t="str">
        <f>IFERROR(__xludf.DUMMYFUNCTION("GOOGLETRANSLATE(A2197, ""de"", ""uk"")"),"Підліток – це трохи дитина і трохи дорослий.")</f>
        <v>Підліток – це трохи дитина і трохи дорослий.</v>
      </c>
    </row>
    <row r="2198" ht="15.75" customHeight="1">
      <c r="A2198" s="4" t="s">
        <v>2143</v>
      </c>
      <c r="B2198" s="2" t="str">
        <f>IFERROR(__xludf.DUMMYFUNCTION("GOOGLETRANSLATE(A2198, ""de"", ""uk"")"),"Я добре поговорив із сином.")</f>
        <v>Я добре поговорив із сином.</v>
      </c>
    </row>
    <row r="2199" ht="15.75" customHeight="1">
      <c r="A2199" s="4" t="s">
        <v>2144</v>
      </c>
      <c r="B2199" s="2" t="str">
        <f>IFERROR(__xludf.DUMMYFUNCTION("GOOGLETRANSLATE(A2199, ""de"", ""uk"")"),"Дитини в колясці не було.")</f>
        <v>Дитини в колясці не було.</v>
      </c>
    </row>
    <row r="2200" ht="15.75" customHeight="1">
      <c r="A2200" s="4" t="s">
        <v>2145</v>
      </c>
      <c r="B2200" s="2" t="str">
        <f>IFERROR(__xludf.DUMMYFUNCTION("GOOGLETRANSLATE(A2200, ""de"", ""uk"")"),"Я поцілувала дитину.")</f>
        <v>Я поцілувала дитину.</v>
      </c>
    </row>
    <row r="2201" ht="15.75" customHeight="1">
      <c r="A2201" s="4" t="s">
        <v>2146</v>
      </c>
      <c r="B2201" s="2" t="str">
        <f>IFERROR(__xludf.DUMMYFUNCTION("GOOGLETRANSLATE(A2201, ""de"", ""uk"")"),"Коли у вас весілля?")</f>
        <v>Коли у вас весілля?</v>
      </c>
    </row>
    <row r="2202" ht="15.75" customHeight="1">
      <c r="A2202" s="4" t="s">
        <v>2147</v>
      </c>
      <c r="B2202" s="2" t="str">
        <f>IFERROR(__xludf.DUMMYFUNCTION("GOOGLETRANSLATE(A2202, ""de"", ""uk"")"),"Життя в Німеччині дороге.")</f>
        <v>Життя в Німеччині дороге.</v>
      </c>
    </row>
    <row r="2203" ht="15.75" customHeight="1">
      <c r="A2203" s="4" t="s">
        <v>2148</v>
      </c>
      <c r="B2203" s="2" t="str">
        <f>IFERROR(__xludf.DUMMYFUNCTION("GOOGLETRANSLATE(A2203, ""de"", ""uk"")"),"Я знаю стільки людей.")</f>
        <v>Я знаю стільки людей.</v>
      </c>
    </row>
    <row r="2204" ht="15.75" customHeight="1">
      <c r="A2204" s="4" t="s">
        <v>2149</v>
      </c>
      <c r="B2204" s="2" t="str">
        <f>IFERROR(__xludf.DUMMYFUNCTION("GOOGLETRANSLATE(A2204, ""de"", ""uk"")"),"Старий розповідає нам свою історію.")</f>
        <v>Старий розповідає нам свою історію.</v>
      </c>
    </row>
    <row r="2205" ht="15.75" customHeight="1">
      <c r="A2205" s="4" t="s">
        <v>2150</v>
      </c>
      <c r="B2205" s="2" t="str">
        <f>IFERROR(__xludf.DUMMYFUNCTION("GOOGLETRANSLATE(A2205, ""de"", ""uk"")"),"Готуємо на велику компанію.")</f>
        <v>Готуємо на велику компанію.</v>
      </c>
    </row>
    <row r="2206" ht="15.75" customHeight="1">
      <c r="A2206" s="4" t="s">
        <v>2151</v>
      </c>
      <c r="B2206" s="2" t="str">
        <f>IFERROR(__xludf.DUMMYFUNCTION("GOOGLETRANSLATE(A2206, ""de"", ""uk"")"),"Няня хоче тридцять євро.")</f>
        <v>Няня хоче тридцять євро.</v>
      </c>
    </row>
    <row r="2207" ht="15.75" customHeight="1">
      <c r="A2207" s="4" t="s">
        <v>2152</v>
      </c>
      <c r="B2207" s="2" t="str">
        <f>IFERROR(__xludf.DUMMYFUNCTION("GOOGLETRANSLATE(A2207, ""de"", ""uk"")"),"Я давно не спілкувався з батьками.")</f>
        <v>Я давно не спілкувався з батьками.</v>
      </c>
    </row>
    <row r="2208" ht="15.75" customHeight="1">
      <c r="A2208" s="4" t="s">
        <v>2153</v>
      </c>
      <c r="B2208" s="2" t="str">
        <f>IFERROR(__xludf.DUMMYFUNCTION("GOOGLETRANSLATE(A2208, ""de"", ""uk"")"),"Це просто знайомство.")</f>
        <v>Це просто знайомство.</v>
      </c>
    </row>
    <row r="2209" ht="15.75" customHeight="1">
      <c r="A2209" s="4" t="s">
        <v>2154</v>
      </c>
      <c r="B2209" s="2" t="str">
        <f>IFERROR(__xludf.DUMMYFUNCTION("GOOGLETRANSLATE(A2209, ""de"", ""uk"")"),"На наше весілля приходить вся рідня.")</f>
        <v>На наше весілля приходить вся рідня.</v>
      </c>
    </row>
    <row r="2210" ht="15.75" customHeight="1">
      <c r="A2210" s="4" t="s">
        <v>2155</v>
      </c>
      <c r="B2210" s="2" t="str">
        <f>IFERROR(__xludf.DUMMYFUNCTION("GOOGLETRANSLATE(A2210, ""de"", ""uk"")"),"Де місце зустрічі?")</f>
        <v>Де місце зустрічі?</v>
      </c>
    </row>
    <row r="2211" ht="15.75" customHeight="1">
      <c r="A2211" s="4" t="s">
        <v>2156</v>
      </c>
      <c r="B2211" s="2" t="str">
        <f>IFERROR(__xludf.DUMMYFUNCTION("GOOGLETRANSLATE(A2211, ""de"", ""uk"")"),"Дідусь і бабуся не відпускають дитину.")</f>
        <v>Дідусь і бабуся не відпускають дитину.</v>
      </c>
    </row>
    <row r="2212" ht="15.75" customHeight="1">
      <c r="A2212" s="4" t="s">
        <v>2157</v>
      </c>
      <c r="B2212" s="2" t="str">
        <f>IFERROR(__xludf.DUMMYFUNCTION("GOOGLETRANSLATE(A2212, ""de"", ""uk"")"),"Батька я не знаю.")</f>
        <v>Батька я не знаю.</v>
      </c>
    </row>
    <row r="2213" ht="15.75" customHeight="1">
      <c r="A2213" s="4" t="s">
        <v>2158</v>
      </c>
      <c r="B2213" s="2" t="str">
        <f>IFERROR(__xludf.DUMMYFUNCTION("GOOGLETRANSLATE(A2213, ""de"", ""uk"")"),"Ви вже не впізнаєте свого сина?")</f>
        <v>Ви вже не впізнаєте свого сина?</v>
      </c>
    </row>
    <row r="2214" ht="15.75" customHeight="1">
      <c r="A2214" s="4" t="s">
        <v>2159</v>
      </c>
      <c r="B2214" s="2" t="str">
        <f>IFERROR(__xludf.DUMMYFUNCTION("GOOGLETRANSLATE(A2214, ""de"", ""uk"")"),"Дідусь розповідає про час, коли він був молодим.")</f>
        <v>Дідусь розповідає про час, коли він був молодим.</v>
      </c>
    </row>
    <row r="2215" ht="15.75" customHeight="1">
      <c r="A2215" s="4" t="s">
        <v>2160</v>
      </c>
      <c r="B2215" s="2" t="str">
        <f>IFERROR(__xludf.DUMMYFUNCTION("GOOGLETRANSLATE(A2215, ""de"", ""uk"")"),"Про вас уже говорять.")</f>
        <v>Про вас уже говорять.</v>
      </c>
    </row>
    <row r="2216" ht="15.75" customHeight="1">
      <c r="A2216" s="4" t="s">
        <v>2161</v>
      </c>
      <c r="B2216" s="2" t="str">
        <f>IFERROR(__xludf.DUMMYFUNCTION("GOOGLETRANSLATE(A2216, ""de"", ""uk"")"),"Дідусь цілує бабу.")</f>
        <v>Дідусь цілує бабу.</v>
      </c>
    </row>
    <row r="2217" ht="15.75" customHeight="1">
      <c r="A2217" s="4" t="s">
        <v>2162</v>
      </c>
      <c r="B2217" s="2" t="str">
        <f>IFERROR(__xludf.DUMMYFUNCTION("GOOGLETRANSLATE(A2217, ""de"", ""uk"")"),"Ти схожа на свою маму.")</f>
        <v>Ти схожа на свою маму.</v>
      </c>
    </row>
    <row r="2218" ht="15.75" customHeight="1">
      <c r="A2218" s="4" t="s">
        <v>2163</v>
      </c>
      <c r="B2218" s="2" t="str">
        <f>IFERROR(__xludf.DUMMYFUNCTION("GOOGLETRANSLATE(A2218, ""de"", ""uk"")"),"Їм потрібно краще виховувати дочку.")</f>
        <v>Їм потрібно краще виховувати дочку.</v>
      </c>
    </row>
    <row r="2219" ht="15.75" customHeight="1">
      <c r="A2219" s="4" t="s">
        <v>2164</v>
      </c>
      <c r="B2219" s="2" t="str">
        <f>IFERROR(__xludf.DUMMYFUNCTION("GOOGLETRANSLATE(A2219, ""de"", ""uk"")"),"Коли народився твій дядько?")</f>
        <v>Коли народився твій дядько?</v>
      </c>
    </row>
    <row r="2220" ht="15.75" customHeight="1">
      <c r="A2220" s="4" t="s">
        <v>2165</v>
      </c>
      <c r="B2220" s="2" t="str">
        <f>IFERROR(__xludf.DUMMYFUNCTION("GOOGLETRANSLATE(A2220, ""de"", ""uk"")"),"Дядька вже немає в живих.")</f>
        <v>Дядька вже немає в живих.</v>
      </c>
    </row>
    <row r="2221" ht="15.75" customHeight="1">
      <c r="A2221" s="4" t="s">
        <v>2166</v>
      </c>
      <c r="B2221" s="2" t="str">
        <f>IFERROR(__xludf.DUMMYFUNCTION("GOOGLETRANSLATE(A2221, ""de"", ""uk"")"),"Мати дозволяє дітям їсти щось інше.")</f>
        <v>Мати дозволяє дітям їсти щось інше.</v>
      </c>
    </row>
    <row r="2222" ht="15.75" customHeight="1">
      <c r="A2222" s="4" t="s">
        <v>2167</v>
      </c>
      <c r="B2222" s="2" t="str">
        <f>IFERROR(__xludf.DUMMYFUNCTION("GOOGLETRANSLATE(A2222, ""de"", ""uk"")"),"Це не спрацювало.")</f>
        <v>Це не спрацювало.</v>
      </c>
    </row>
    <row r="2223" ht="15.75" customHeight="1">
      <c r="A2223" s="4" t="s">
        <v>2168</v>
      </c>
      <c r="B2223" s="2" t="str">
        <f>IFERROR(__xludf.DUMMYFUNCTION("GOOGLETRANSLATE(A2223, ""de"", ""uk"")"),"Тітка кличе нас на вечерю.")</f>
        <v>Тітка кличе нас на вечерю.</v>
      </c>
    </row>
    <row r="2224" ht="15.75" customHeight="1">
      <c r="A2224" s="4" t="s">
        <v>2169</v>
      </c>
      <c r="B2224" s="2" t="str">
        <f>IFERROR(__xludf.DUMMYFUNCTION("GOOGLETRANSLATE(A2224, ""de"", ""uk"")"),"За нашими дітьми доглядає няня.")</f>
        <v>За нашими дітьми доглядає няня.</v>
      </c>
    </row>
    <row r="2225" ht="15.75" customHeight="1">
      <c r="A2225" s="4" t="s">
        <v>2170</v>
      </c>
      <c r="B2225" s="2" t="str">
        <f>IFERROR(__xludf.DUMMYFUNCTION("GOOGLETRANSLATE(A2225, ""de"", ""uk"")"),"Чи може хтось мені допомогти?")</f>
        <v>Чи може хтось мені допомогти?</v>
      </c>
    </row>
    <row r="2226" ht="15.75" customHeight="1">
      <c r="A2226" s="4" t="s">
        <v>2171</v>
      </c>
      <c r="B2226" s="2" t="str">
        <f>IFERROR(__xludf.DUMMYFUNCTION("GOOGLETRANSLATE(A2226, ""de"", ""uk"")"),"Я хочу інших батьків.")</f>
        <v>Я хочу інших батьків.</v>
      </c>
    </row>
    <row r="2227" ht="15.75" customHeight="1">
      <c r="A2227" s="4" t="s">
        <v>2172</v>
      </c>
      <c r="B2227" s="2" t="str">
        <f>IFERROR(__xludf.DUMMYFUNCTION("GOOGLETRANSLATE(A2227, ""de"", ""uk"")"),"Навіть сім'я тебе не любить.")</f>
        <v>Навіть сім'я тебе не любить.</v>
      </c>
    </row>
    <row r="2228" ht="15.75" customHeight="1">
      <c r="A2228" s="4" t="s">
        <v>2173</v>
      </c>
      <c r="B2228" s="2" t="str">
        <f>IFERROR(__xludf.DUMMYFUNCTION("GOOGLETRANSLATE(A2228, ""de"", ""uk"")"),"Мій тато молодший за маму.")</f>
        <v>Мій тато молодший за маму.</v>
      </c>
    </row>
    <row r="2229" ht="15.75" customHeight="1">
      <c r="A2229" s="4" t="s">
        <v>2174</v>
      </c>
      <c r="B2229" s="2" t="str">
        <f>IFERROR(__xludf.DUMMYFUNCTION("GOOGLETRANSLATE(A2229, ""de"", ""uk"")"),"Моя мама старша за тата.")</f>
        <v>Моя мама старша за тата.</v>
      </c>
    </row>
    <row r="2230" ht="15.75" customHeight="1">
      <c r="A2230" s="4" t="s">
        <v>2175</v>
      </c>
      <c r="B2230" s="2" t="str">
        <f>IFERROR(__xludf.DUMMYFUNCTION("GOOGLETRANSLATE(A2230, ""de"", ""uk"")"),"Його дівчина дуже красива.")</f>
        <v>Його дівчина дуже красива.</v>
      </c>
    </row>
    <row r="2231" ht="15.75" customHeight="1">
      <c r="A2231" s="4" t="s">
        <v>2176</v>
      </c>
      <c r="B2231" s="2" t="str">
        <f>IFERROR(__xludf.DUMMYFUNCTION("GOOGLETRANSLATE(A2231, ""de"", ""uk"")"),"Мої діти не гидкі.")</f>
        <v>Мої діти не гидкі.</v>
      </c>
    </row>
    <row r="2232" ht="15.75" customHeight="1">
      <c r="A2232" s="4" t="s">
        <v>2177</v>
      </c>
      <c r="B2232" s="2" t="str">
        <f>IFERROR(__xludf.DUMMYFUNCTION("GOOGLETRANSLATE(A2232, ""de"", ""uk"")"),"Пізніше я буду дуже багатим.")</f>
        <v>Пізніше я буду дуже багатим.</v>
      </c>
    </row>
    <row r="2233" ht="15.75" customHeight="1">
      <c r="A2233" s="4" t="s">
        <v>2178</v>
      </c>
      <c r="B2233" s="2" t="str">
        <f>IFERROR(__xludf.DUMMYFUNCTION("GOOGLETRANSLATE(A2233, ""de"", ""uk"")"),"Наші бабусі та дідусі дуже бідні.")</f>
        <v>Наші бабусі та дідусі дуже бідні.</v>
      </c>
    </row>
    <row r="2234" ht="15.75" customHeight="1">
      <c r="A2234" s="4" t="s">
        <v>2179</v>
      </c>
      <c r="B2234" s="2" t="str">
        <f>IFERROR(__xludf.DUMMYFUNCTION("GOOGLETRANSLATE(A2234, ""de"", ""uk"")"),"Юнаки дуже сильні.")</f>
        <v>Юнаки дуже сильні.</v>
      </c>
    </row>
    <row r="2235" ht="15.75" customHeight="1">
      <c r="A2235" s="4" t="s">
        <v>2180</v>
      </c>
      <c r="B2235" s="2" t="str">
        <f>IFERROR(__xludf.DUMMYFUNCTION("GOOGLETRANSLATE(A2235, ""de"", ""uk"")"),"Люди похилого віку часто слабкі.")</f>
        <v>Люди похилого віку часто слабкі.</v>
      </c>
    </row>
    <row r="2236" ht="15.75" customHeight="1">
      <c r="A2236" s="4" t="s">
        <v>2181</v>
      </c>
      <c r="B2236" s="2" t="str">
        <f>IFERROR(__xludf.DUMMYFUNCTION("GOOGLETRANSLATE(A2236, ""de"", ""uk"")"),"Я хотів би побути сам зараз, будь ласка.")</f>
        <v>Я хотів би побути сам зараз, будь ласка.</v>
      </c>
    </row>
    <row r="2237" ht="15.75" customHeight="1">
      <c r="A2237" s="4" t="s">
        <v>2182</v>
      </c>
      <c r="B2237" s="2" t="str">
        <f>IFERROR(__xludf.DUMMYFUNCTION("GOOGLETRANSLATE(A2237, ""de"", ""uk"")"),"Хочеш разом поговорити з батьками?")</f>
        <v>Хочеш разом поговорити з батьками?</v>
      </c>
    </row>
    <row r="2238" ht="15.75" customHeight="1">
      <c r="A2238" s="4" t="s">
        <v>2183</v>
      </c>
      <c r="B2238" s="2" t="str">
        <f>IFERROR(__xludf.DUMMYFUNCTION("GOOGLETRANSLATE(A2238, ""de"", ""uk"")"),"Молоді люди закохані.")</f>
        <v>Молоді люди закохані.</v>
      </c>
    </row>
    <row r="2239" ht="15.75" customHeight="1">
      <c r="A2239" s="4" t="s">
        <v>2184</v>
      </c>
      <c r="B2239" s="2" t="str">
        <f>IFERROR(__xludf.DUMMYFUNCTION("GOOGLETRANSLATE(A2239, ""de"", ""uk"")"),"Ваш син трохи інший.")</f>
        <v>Ваш син трохи інший.</v>
      </c>
    </row>
    <row r="2240" ht="15.75" customHeight="1">
      <c r="A2240" s="4" t="s">
        <v>2185</v>
      </c>
      <c r="B2240" s="2" t="str">
        <f>IFERROR(__xludf.DUMMYFUNCTION("GOOGLETRANSLATE(A2240, ""de"", ""uk"")"),"Я знаю його братів і сестер.")</f>
        <v>Я знаю його братів і сестер.</v>
      </c>
    </row>
    <row r="2241" ht="15.75" customHeight="1">
      <c r="A2241" s="4" t="s">
        <v>2186</v>
      </c>
      <c r="B2241" s="2" t="str">
        <f>IFERROR(__xludf.DUMMYFUNCTION("GOOGLETRANSLATE(A2241, ""de"", ""uk"")"),"Його дідусь був дуже відомий.")</f>
        <v>Його дідусь був дуже відомий.</v>
      </c>
    </row>
    <row r="2242" ht="15.75" customHeight="1">
      <c r="A2242" s="4" t="s">
        <v>2187</v>
      </c>
      <c r="B2242" s="2" t="str">
        <f>IFERROR(__xludf.DUMMYFUNCTION("GOOGLETRANSLATE(A2242, ""de"", ""uk"")"),"Хто такий дивний чоловік?")</f>
        <v>Хто такий дивний чоловік?</v>
      </c>
    </row>
    <row r="2243" ht="15.75" customHeight="1">
      <c r="A2243" s="4" t="s">
        <v>2188</v>
      </c>
      <c r="B2243" s="2" t="str">
        <f>IFERROR(__xludf.DUMMYFUNCTION("GOOGLETRANSLATE(A2243, ""de"", ""uk"")"),"Від кого вона вагітна?")</f>
        <v>Від кого вона вагітна?</v>
      </c>
    </row>
    <row r="2244" ht="15.75" customHeight="1">
      <c r="A2244" s="1" t="s">
        <v>2189</v>
      </c>
      <c r="B2244" s="2" t="str">
        <f>IFERROR(__xludf.DUMMYFUNCTION("GOOGLETRANSLATE(A2244, ""de"", ""uk"")"),"грати")</f>
        <v>грати</v>
      </c>
    </row>
    <row r="2245" ht="15.75" customHeight="1">
      <c r="A2245" s="1" t="s">
        <v>2190</v>
      </c>
      <c r="B2245" s="2" t="str">
        <f>IFERROR(__xludf.DUMMYFUNCTION("GOOGLETRANSLATE(A2245, ""de"", ""uk"")"),"навчитися")</f>
        <v>навчитися</v>
      </c>
    </row>
    <row r="2246" ht="15.75" customHeight="1">
      <c r="A2246" s="1" t="s">
        <v>2191</v>
      </c>
      <c r="B2246" s="2" t="str">
        <f>IFERROR(__xludf.DUMMYFUNCTION("GOOGLETRANSLATE(A2246, ""de"", ""uk"")"),"вивчення")</f>
        <v>вивчення</v>
      </c>
    </row>
    <row r="2247" ht="15.75" customHeight="1">
      <c r="A2247" s="1" t="s">
        <v>2192</v>
      </c>
      <c r="B2247" s="2" t="str">
        <f>IFERROR(__xludf.DUMMYFUNCTION("GOOGLETRANSLATE(A2247, ""de"", ""uk"")"),"запитання")</f>
        <v>запитання</v>
      </c>
    </row>
    <row r="2248" ht="15.75" customHeight="1">
      <c r="A2248" s="1" t="s">
        <v>2193</v>
      </c>
      <c r="B2248" s="2" t="str">
        <f>IFERROR(__xludf.DUMMYFUNCTION("GOOGLETRANSLATE(A2248, ""de"", ""uk"")"),"відповідь")</f>
        <v>відповідь</v>
      </c>
    </row>
    <row r="2249" ht="15.75" customHeight="1">
      <c r="A2249" s="1" t="s">
        <v>2194</v>
      </c>
      <c r="B2249" s="2" t="str">
        <f>IFERROR(__xludf.DUMMYFUNCTION("GOOGLETRANSLATE(A2249, ""de"", ""uk"")"),"галочка")</f>
        <v>галочка</v>
      </c>
    </row>
    <row r="2250" ht="15.75" customHeight="1">
      <c r="A2250" s="1" t="s">
        <v>2195</v>
      </c>
      <c r="B2250" s="2" t="str">
        <f>IFERROR(__xludf.DUMMYFUNCTION("GOOGLETRANSLATE(A2250, ""de"", ""uk"")"),"заклинання")</f>
        <v>заклинання</v>
      </c>
    </row>
    <row r="2251" ht="15.75" customHeight="1">
      <c r="A2251" s="1" t="s">
        <v>2196</v>
      </c>
      <c r="B2251" s="2" t="str">
        <f>IFERROR(__xludf.DUMMYFUNCTION("GOOGLETRANSLATE(A2251, ""de"", ""uk"")"),"писати")</f>
        <v>писати</v>
      </c>
    </row>
    <row r="2252" ht="15.75" customHeight="1">
      <c r="A2252" s="1" t="s">
        <v>2197</v>
      </c>
      <c r="B2252" s="2" t="str">
        <f>IFERROR(__xludf.DUMMYFUNCTION("GOOGLETRANSLATE(A2252, ""de"", ""uk"")"),"читати")</f>
        <v>читати</v>
      </c>
    </row>
    <row r="2253" ht="15.75" customHeight="1">
      <c r="A2253" s="1" t="s">
        <v>11</v>
      </c>
      <c r="B2253" s="2" t="str">
        <f>IFERROR(__xludf.DUMMYFUNCTION("GOOGLETRANSLATE(A2253, ""de"", ""uk"")"),"говорити")</f>
        <v>говорити</v>
      </c>
    </row>
    <row r="2254" ht="15.75" customHeight="1">
      <c r="A2254" s="1" t="s">
        <v>2198</v>
      </c>
      <c r="B2254" s="2" t="str">
        <f>IFERROR(__xludf.DUMMYFUNCTION("GOOGLETRANSLATE(A2254, ""de"", ""uk"")"),"чути")</f>
        <v>чути</v>
      </c>
    </row>
    <row r="2255" ht="15.75" customHeight="1">
      <c r="A2255" s="1" t="s">
        <v>2199</v>
      </c>
      <c r="B2255" s="2" t="str">
        <f>IFERROR(__xludf.DUMMYFUNCTION("GOOGLETRANSLATE(A2255, ""de"", ""uk"")"),"побачити")</f>
        <v>побачити</v>
      </c>
    </row>
    <row r="2256" ht="15.75" customHeight="1">
      <c r="A2256" s="1" t="s">
        <v>2200</v>
      </c>
      <c r="B2256" s="2" t="str">
        <f>IFERROR(__xludf.DUMMYFUNCTION("GOOGLETRANSLATE(A2256, ""de"", ""uk"")"),"пояснити")</f>
        <v>пояснити</v>
      </c>
    </row>
    <row r="2257" ht="15.75" customHeight="1">
      <c r="A2257" s="1" t="s">
        <v>2201</v>
      </c>
      <c r="B2257" s="2" t="str">
        <f>IFERROR(__xludf.DUMMYFUNCTION("GOOGLETRANSLATE(A2257, ""de"", ""uk"")"),"знак")</f>
        <v>знак</v>
      </c>
    </row>
    <row r="2258" ht="15.75" customHeight="1">
      <c r="A2258" s="1" t="s">
        <v>2202</v>
      </c>
      <c r="B2258" s="2" t="str">
        <f>IFERROR(__xludf.DUMMYFUNCTION("GOOGLETRANSLATE(A2258, ""de"", ""uk"")"),"занотуйте")</f>
        <v>занотуйте</v>
      </c>
    </row>
    <row r="2259" ht="15.75" customHeight="1">
      <c r="A2259" s="1" t="s">
        <v>2203</v>
      </c>
      <c r="B2259" s="2" t="str">
        <f>IFERROR(__xludf.DUMMYFUNCTION("GOOGLETRANSLATE(A2259, ""de"", ""uk"")"),"додати до")</f>
        <v>додати до</v>
      </c>
    </row>
    <row r="2260" ht="15.75" customHeight="1">
      <c r="A2260" s="1" t="s">
        <v>2204</v>
      </c>
      <c r="B2260" s="2" t="str">
        <f>IFERROR(__xludf.DUMMYFUNCTION("GOOGLETRANSLATE(A2260, ""de"", ""uk"")"),"КОНТРОЛЬ")</f>
        <v>КОНТРОЛЬ</v>
      </c>
    </row>
    <row r="2261" ht="15.75" customHeight="1">
      <c r="A2261" s="1" t="s">
        <v>2205</v>
      </c>
      <c r="B2261" s="2" t="str">
        <f>IFERROR(__xludf.DUMMYFUNCTION("GOOGLETRANSLATE(A2261, ""de"", ""uk"")"),"вгадати")</f>
        <v>вгадати</v>
      </c>
    </row>
    <row r="2262" ht="15.75" customHeight="1">
      <c r="A2262" s="1" t="s">
        <v>2206</v>
      </c>
      <c r="B2262" s="2" t="str">
        <f>IFERROR(__xludf.DUMMYFUNCTION("GOOGLETRANSLATE(A2262, ""de"", ""uk"")"),"голоси")</f>
        <v>голоси</v>
      </c>
    </row>
    <row r="2263" ht="15.75" customHeight="1">
      <c r="A2263" s="1" t="s">
        <v>2207</v>
      </c>
      <c r="B2263" s="2" t="str">
        <f>IFERROR(__xludf.DUMMYFUNCTION("GOOGLETRANSLATE(A2263, ""de"", ""uk"")"),"практика")</f>
        <v>практика</v>
      </c>
    </row>
    <row r="2264" ht="15.75" customHeight="1">
      <c r="A2264" s="1" t="s">
        <v>2208</v>
      </c>
      <c r="B2264" s="2" t="str">
        <f>IFERROR(__xludf.DUMMYFUNCTION("GOOGLETRANSLATE(A2264, ""de"", ""uk"")"),"начальник")</f>
        <v>начальник</v>
      </c>
    </row>
    <row r="2265" ht="15.75" customHeight="1">
      <c r="A2265" s="1" t="s">
        <v>2209</v>
      </c>
      <c r="B2265" s="2" t="str">
        <f>IFERROR(__xludf.DUMMYFUNCTION("GOOGLETRANSLATE(A2265, ""de"", ""uk"")"),"читати вголос")</f>
        <v>читати вголос</v>
      </c>
    </row>
    <row r="2266" ht="15.75" customHeight="1">
      <c r="A2266" s="1" t="s">
        <v>2210</v>
      </c>
      <c r="B2266" s="2" t="str">
        <f>IFERROR(__xludf.DUMMYFUNCTION("GOOGLETRANSLATE(A2266, ""de"", ""uk"")"),"знання")</f>
        <v>знання</v>
      </c>
    </row>
    <row r="2267" ht="15.75" customHeight="1">
      <c r="A2267" s="1" t="s">
        <v>2211</v>
      </c>
      <c r="B2267" s="2" t="str">
        <f>IFERROR(__xludf.DUMMYFUNCTION("GOOGLETRANSLATE(A2267, ""de"", ""uk"")"),"замінити")</f>
        <v>замінити</v>
      </c>
    </row>
    <row r="2268" ht="15.75" customHeight="1">
      <c r="A2268" s="1" t="s">
        <v>2212</v>
      </c>
      <c r="B2268" s="2" t="str">
        <f>IFERROR(__xludf.DUMMYFUNCTION("GOOGLETRANSLATE(A2268, ""de"", ""uk"")"),"слухати")</f>
        <v>слухати</v>
      </c>
    </row>
    <row r="2269" ht="15.75" customHeight="1">
      <c r="A2269" s="1" t="s">
        <v>2213</v>
      </c>
      <c r="B2269" s="2" t="str">
        <f>IFERROR(__xludf.DUMMYFUNCTION("GOOGLETRANSLATE(A2269, ""de"", ""uk"")"),"спостерігати")</f>
        <v>спостерігати</v>
      </c>
    </row>
    <row r="2270" ht="15.75" customHeight="1">
      <c r="A2270" s="1" t="s">
        <v>2214</v>
      </c>
      <c r="B2270" s="2" t="str">
        <f>IFERROR(__xludf.DUMMYFUNCTION("GOOGLETRANSLATE(A2270, ""de"", ""uk"")"),"зареєструватися")</f>
        <v>зареєструватися</v>
      </c>
    </row>
    <row r="2271" ht="15.75" customHeight="1">
      <c r="A2271" s="1" t="s">
        <v>2215</v>
      </c>
      <c r="B2271" s="2" t="str">
        <f>IFERROR(__xludf.DUMMYFUNCTION("GOOGLETRANSLATE(A2271, ""de"", ""uk"")"),"правильно")</f>
        <v>правильно</v>
      </c>
    </row>
    <row r="2272" ht="15.75" customHeight="1">
      <c r="A2272" s="1" t="s">
        <v>2216</v>
      </c>
      <c r="B2272" s="2" t="str">
        <f>IFERROR(__xludf.DUMMYFUNCTION("GOOGLETRANSLATE(A2272, ""de"", ""uk"")"),"дивитися вгору")</f>
        <v>дивитися вгору</v>
      </c>
    </row>
    <row r="2273" ht="15.75" customHeight="1">
      <c r="A2273" s="1" t="s">
        <v>2217</v>
      </c>
      <c r="B2273" s="2" t="str">
        <f>IFERROR(__xludf.DUMMYFUNCTION("GOOGLETRANSLATE(A2273, ""de"", ""uk"")"),"повторити")</f>
        <v>повторити</v>
      </c>
    </row>
    <row r="2274" ht="15.75" customHeight="1">
      <c r="A2274" s="1" t="s">
        <v>2218</v>
      </c>
      <c r="B2274" s="2" t="str">
        <f>IFERROR(__xludf.DUMMYFUNCTION("GOOGLETRANSLATE(A2274, ""de"", ""uk"")"),"дитячий садок")</f>
        <v>дитячий садок</v>
      </c>
    </row>
    <row r="2275" ht="15.75" customHeight="1">
      <c r="A2275" s="1" t="s">
        <v>2219</v>
      </c>
      <c r="B2275" s="2" t="str">
        <f>IFERROR(__xludf.DUMMYFUNCTION("GOOGLETRANSLATE(A2275, ""de"", ""uk"")"),"вихователь")</f>
        <v>вихователь</v>
      </c>
    </row>
    <row r="2276" ht="15.75" customHeight="1">
      <c r="A2276" s="1" t="s">
        <v>2220</v>
      </c>
      <c r="B2276" s="2" t="str">
        <f>IFERROR(__xludf.DUMMYFUNCTION("GOOGLETRANSLATE(A2276, ""de"", ""uk"")"),"іграшка")</f>
        <v>іграшка</v>
      </c>
    </row>
    <row r="2277" ht="15.75" customHeight="1">
      <c r="A2277" s="1" t="s">
        <v>2221</v>
      </c>
      <c r="B2277" s="2" t="str">
        <f>IFERROR(__xludf.DUMMYFUNCTION("GOOGLETRANSLATE(A2277, ""de"", ""uk"")"),"школа")</f>
        <v>школа</v>
      </c>
    </row>
    <row r="2278" ht="15.75" customHeight="1">
      <c r="A2278" s="1" t="s">
        <v>2222</v>
      </c>
      <c r="B2278" s="2" t="str">
        <f>IFERROR(__xludf.DUMMYFUNCTION("GOOGLETRANSLATE(A2278, ""de"", ""uk"")"),"учень")</f>
        <v>учень</v>
      </c>
    </row>
    <row r="2279" ht="15.75" customHeight="1">
      <c r="A2279" s="1" t="s">
        <v>2223</v>
      </c>
      <c r="B2279" s="2" t="str">
        <f>IFERROR(__xludf.DUMMYFUNCTION("GOOGLETRANSLATE(A2279, ""de"", ""uk"")"),"вчитель")</f>
        <v>вчитель</v>
      </c>
    </row>
    <row r="2280" ht="15.75" customHeight="1">
      <c r="A2280" s="1" t="s">
        <v>2224</v>
      </c>
      <c r="B2280" s="2" t="str">
        <f>IFERROR(__xludf.DUMMYFUNCTION("GOOGLETRANSLATE(A2280, ""de"", ""uk"")"),"університет")</f>
        <v>університет</v>
      </c>
    </row>
    <row r="2281" ht="15.75" customHeight="1">
      <c r="A2281" s="1" t="s">
        <v>2225</v>
      </c>
      <c r="B2281" s="2" t="str">
        <f>IFERROR(__xludf.DUMMYFUNCTION("GOOGLETRANSLATE(A2281, ""de"", ""uk"")"),"викладач")</f>
        <v>викладач</v>
      </c>
    </row>
    <row r="2282" ht="15.75" customHeight="1">
      <c r="A2282" s="1" t="s">
        <v>2226</v>
      </c>
      <c r="B2282" s="2" t="str">
        <f>IFERROR(__xludf.DUMMYFUNCTION("GOOGLETRANSLATE(A2282, ""de"", ""uk"")"),"учень")</f>
        <v>учень</v>
      </c>
    </row>
    <row r="2283" ht="15.75" customHeight="1">
      <c r="A2283" s="1" t="s">
        <v>2227</v>
      </c>
      <c r="B2283" s="2" t="str">
        <f>IFERROR(__xludf.DUMMYFUNCTION("GOOGLETRANSLATE(A2283, ""de"", ""uk"")"),"питання")</f>
        <v>питання</v>
      </c>
    </row>
    <row r="2284" ht="15.75" customHeight="1">
      <c r="A2284" s="1" t="s">
        <v>2228</v>
      </c>
      <c r="B2284" s="2" t="str">
        <f>IFERROR(__xludf.DUMMYFUNCTION("GOOGLETRANSLATE(A2284, ""de"", ""uk"")"),"відповідь")</f>
        <v>відповідь</v>
      </c>
    </row>
    <row r="2285" ht="15.75" customHeight="1">
      <c r="A2285" s="1" t="s">
        <v>2229</v>
      </c>
      <c r="B2285" s="2" t="str">
        <f>IFERROR(__xludf.DUMMYFUNCTION("GOOGLETRANSLATE(A2285, ""de"", ""uk"")"),"завдання")</f>
        <v>завдання</v>
      </c>
    </row>
    <row r="2286" ht="15.75" customHeight="1">
      <c r="A2286" s="1" t="s">
        <v>2230</v>
      </c>
      <c r="B2286" s="2" t="str">
        <f>IFERROR(__xludf.DUMMYFUNCTION("GOOGLETRANSLATE(A2286, ""de"", ""uk"")"),"рішення")</f>
        <v>рішення</v>
      </c>
    </row>
    <row r="2287" ht="15.75" customHeight="1">
      <c r="A2287" s="1" t="s">
        <v>2231</v>
      </c>
      <c r="B2287" s="2" t="str">
        <f>IFERROR(__xludf.DUMMYFUNCTION("GOOGLETRANSLATE(A2287, ""de"", ""uk"")"),"помилка")</f>
        <v>помилка</v>
      </c>
    </row>
    <row r="2288" ht="15.75" customHeight="1">
      <c r="A2288" s="1" t="s">
        <v>2232</v>
      </c>
      <c r="B2288" s="2" t="str">
        <f>IFERROR(__xludf.DUMMYFUNCTION("GOOGLETRANSLATE(A2288, ""de"", ""uk"")"),"іспит")</f>
        <v>іспит</v>
      </c>
    </row>
    <row r="2289" ht="15.75" customHeight="1">
      <c r="A2289" s="1" t="s">
        <v>2233</v>
      </c>
      <c r="B2289" s="2" t="str">
        <f>IFERROR(__xludf.DUMMYFUNCTION("GOOGLETRANSLATE(A2289, ""de"", ""uk"")"),"тест")</f>
        <v>тест</v>
      </c>
    </row>
    <row r="2290" ht="15.75" customHeight="1">
      <c r="A2290" s="1" t="s">
        <v>2234</v>
      </c>
      <c r="B2290" s="2" t="str">
        <f>IFERROR(__xludf.DUMMYFUNCTION("GOOGLETRANSLATE(A2290, ""de"", ""uk"")"),"лист")</f>
        <v>лист</v>
      </c>
    </row>
    <row r="2291" ht="15.75" customHeight="1">
      <c r="A2291" s="1" t="s">
        <v>2235</v>
      </c>
      <c r="B2291" s="2" t="str">
        <f>IFERROR(__xludf.DUMMYFUNCTION("GOOGLETRANSLATE(A2291, ""de"", ""uk"")"),"слово")</f>
        <v>слово</v>
      </c>
    </row>
    <row r="2292" ht="15.75" customHeight="1">
      <c r="A2292" s="1" t="s">
        <v>2236</v>
      </c>
      <c r="B2292" s="2" t="str">
        <f>IFERROR(__xludf.DUMMYFUNCTION("GOOGLETRANSLATE(A2292, ""de"", ""uk"")"),"речення")</f>
        <v>речення</v>
      </c>
    </row>
    <row r="2293" ht="15.75" customHeight="1">
      <c r="A2293" s="1" t="s">
        <v>2237</v>
      </c>
      <c r="B2293" s="2" t="str">
        <f>IFERROR(__xludf.DUMMYFUNCTION("GOOGLETRANSLATE(A2293, ""de"", ""uk"")"),"текст")</f>
        <v>текст</v>
      </c>
    </row>
    <row r="2294" ht="15.75" customHeight="1">
      <c r="A2294" s="1" t="s">
        <v>2238</v>
      </c>
      <c r="B2294" s="2" t="str">
        <f>IFERROR(__xludf.DUMMYFUNCTION("GOOGLETRANSLATE(A2294, ""de"", ""uk"")"),"олівець")</f>
        <v>олівець</v>
      </c>
    </row>
    <row r="2295" ht="15.75" customHeight="1">
      <c r="A2295" s="1" t="s">
        <v>2239</v>
      </c>
      <c r="B2295" s="2" t="str">
        <f>IFERROR(__xludf.DUMMYFUNCTION("GOOGLETRANSLATE(A2295, ""de"", ""uk"")"),"папір")</f>
        <v>папір</v>
      </c>
    </row>
    <row r="2296" ht="15.75" customHeight="1">
      <c r="A2296" s="1" t="s">
        <v>2240</v>
      </c>
      <c r="B2296" s="2" t="str">
        <f>IFERROR(__xludf.DUMMYFUNCTION("GOOGLETRANSLATE(A2296, ""de"", ""uk"")"),"книга")</f>
        <v>книга</v>
      </c>
    </row>
    <row r="2297" ht="15.75" customHeight="1">
      <c r="A2297" s="1" t="s">
        <v>2241</v>
      </c>
      <c r="B2297" s="2" t="str">
        <f>IFERROR(__xludf.DUMMYFUNCTION("GOOGLETRANSLATE(A2297, ""de"", ""uk"")"),"окуляри")</f>
        <v>окуляри</v>
      </c>
    </row>
    <row r="2298" ht="15.75" customHeight="1">
      <c r="A2298" s="1" t="s">
        <v>2242</v>
      </c>
      <c r="B2298" s="2" t="str">
        <f>IFERROR(__xludf.DUMMYFUNCTION("GOOGLETRANSLATE(A2298, ""de"", ""uk"")"),"початок")</f>
        <v>початок</v>
      </c>
    </row>
    <row r="2299" ht="15.75" customHeight="1">
      <c r="A2299" s="1" t="s">
        <v>2243</v>
      </c>
      <c r="B2299" s="2" t="str">
        <f>IFERROR(__xludf.DUMMYFUNCTION("GOOGLETRANSLATE(A2299, ""de"", ""uk"")"),"середина")</f>
        <v>середина</v>
      </c>
    </row>
    <row r="2300" ht="15.75" customHeight="1">
      <c r="A2300" s="1" t="s">
        <v>2244</v>
      </c>
      <c r="B2300" s="2" t="str">
        <f>IFERROR(__xludf.DUMMYFUNCTION("GOOGLETRANSLATE(A2300, ""de"", ""uk"")"),"кінець")</f>
        <v>кінець</v>
      </c>
    </row>
    <row r="2301" ht="15.75" customHeight="1">
      <c r="A2301" s="1" t="s">
        <v>2245</v>
      </c>
      <c r="B2301" s="2" t="str">
        <f>IFERROR(__xludf.DUMMYFUNCTION("GOOGLETRANSLATE(A2301, ""de"", ""uk"")"),"центр освіти дорослих")</f>
        <v>центр освіти дорослих</v>
      </c>
    </row>
    <row r="2302" ht="15.75" customHeight="1">
      <c r="A2302" s="1" t="s">
        <v>2246</v>
      </c>
      <c r="B2302" s="2" t="str">
        <f>IFERROR(__xludf.DUMMYFUNCTION("GOOGLETRANSLATE(A2302, ""de"", ""uk"")"),"приклад")</f>
        <v>приклад</v>
      </c>
    </row>
    <row r="2303" ht="15.75" customHeight="1">
      <c r="A2303" s="1" t="s">
        <v>2247</v>
      </c>
      <c r="B2303" s="2" t="str">
        <f>IFERROR(__xludf.DUMMYFUNCTION("GOOGLETRANSLATE(A2303, ""de"", ""uk"")"),"курс")</f>
        <v>курс</v>
      </c>
    </row>
    <row r="2304" ht="15.75" customHeight="1">
      <c r="A2304" s="1" t="s">
        <v>2248</v>
      </c>
      <c r="B2304" s="2" t="str">
        <f>IFERROR(__xludf.DUMMYFUNCTION("GOOGLETRANSLATE(A2304, ""de"", ""uk"")"),"список")</f>
        <v>список</v>
      </c>
    </row>
    <row r="2305" ht="15.75" customHeight="1">
      <c r="A2305" s="1" t="s">
        <v>2249</v>
      </c>
      <c r="B2305" s="2" t="str">
        <f>IFERROR(__xludf.DUMMYFUNCTION("GOOGLETRANSLATE(A2305, ""de"", ""uk"")"),"олівець")</f>
        <v>олівець</v>
      </c>
    </row>
    <row r="2306" ht="15.75" customHeight="1">
      <c r="A2306" s="1" t="s">
        <v>2250</v>
      </c>
      <c r="B2306" s="2" t="str">
        <f>IFERROR(__xludf.DUMMYFUNCTION("GOOGLETRANSLATE(A2306, ""de"", ""uk"")"),"буклет")</f>
        <v>буклет</v>
      </c>
    </row>
    <row r="2307" ht="15.75" customHeight="1">
      <c r="A2307" s="1" t="s">
        <v>2251</v>
      </c>
      <c r="B2307" s="2" t="str">
        <f>IFERROR(__xludf.DUMMYFUNCTION("GOOGLETRANSLATE(A2307, ""de"", ""uk"")"),"кулькова ручка")</f>
        <v>кулькова ручка</v>
      </c>
    </row>
    <row r="2308" ht="15.75" customHeight="1">
      <c r="A2308" s="1" t="s">
        <v>2252</v>
      </c>
      <c r="B2308" s="2" t="str">
        <f>IFERROR(__xludf.DUMMYFUNCTION("GOOGLETRANSLATE(A2308, ""de"", ""uk"")"),"ножиці")</f>
        <v>ножиці</v>
      </c>
    </row>
    <row r="2309" ht="15.75" customHeight="1">
      <c r="A2309" s="1" t="s">
        <v>2253</v>
      </c>
      <c r="B2309" s="2" t="str">
        <f>IFERROR(__xludf.DUMMYFUNCTION("GOOGLETRANSLATE(A2309, ""de"", ""uk"")"),"домашнє завдання")</f>
        <v>домашнє завдання</v>
      </c>
    </row>
    <row r="2310" ht="15.75" customHeight="1">
      <c r="A2310" s="1" t="s">
        <v>2254</v>
      </c>
      <c r="B2310" s="2" t="str">
        <f>IFERROR(__xludf.DUMMYFUNCTION("GOOGLETRANSLATE(A2310, ""de"", ""uk"")"),"стіл")</f>
        <v>стіл</v>
      </c>
    </row>
    <row r="2311" ht="15.75" customHeight="1">
      <c r="A2311" s="1" t="s">
        <v>2255</v>
      </c>
      <c r="B2311" s="2" t="str">
        <f>IFERROR(__xludf.DUMMYFUNCTION("GOOGLETRANSLATE(A2311, ""de"", ""uk"")"),"біла дошка")</f>
        <v>біла дошка</v>
      </c>
    </row>
    <row r="2312" ht="15.75" customHeight="1">
      <c r="A2312" s="1" t="s">
        <v>2256</v>
      </c>
      <c r="B2312" s="2" t="str">
        <f>IFERROR(__xludf.DUMMYFUNCTION("GOOGLETRANSLATE(A2312, ""de"", ""uk"")"),"клас")</f>
        <v>клас</v>
      </c>
    </row>
    <row r="2313" ht="15.75" customHeight="1">
      <c r="A2313" s="1" t="s">
        <v>2257</v>
      </c>
      <c r="B2313" s="2" t="str">
        <f>IFERROR(__xludf.DUMMYFUNCTION("GOOGLETRANSLATE(A2313, ""de"", ""uk"")"),"вираз")</f>
        <v>вираз</v>
      </c>
    </row>
    <row r="2314" ht="15.75" customHeight="1">
      <c r="A2314" s="1" t="s">
        <v>2258</v>
      </c>
      <c r="B2314" s="2" t="str">
        <f>IFERROR(__xludf.DUMMYFUNCTION("GOOGLETRANSLATE(A2314, ""de"", ""uk"")"),"примітка")</f>
        <v>примітка</v>
      </c>
    </row>
    <row r="2315" ht="15.75" customHeight="1">
      <c r="A2315" s="1" t="s">
        <v>2259</v>
      </c>
      <c r="B2315" s="2" t="str">
        <f>IFERROR(__xludf.DUMMYFUNCTION("GOOGLETRANSLATE(A2315, ""de"", ""uk"")"),"справа")</f>
        <v>справа</v>
      </c>
    </row>
    <row r="2316" ht="15.75" customHeight="1">
      <c r="A2316" s="1" t="s">
        <v>2260</v>
      </c>
      <c r="B2316" s="2" t="str">
        <f>IFERROR(__xludf.DUMMYFUNCTION("GOOGLETRANSLATE(A2316, ""de"", ""uk"")"),"точка")</f>
        <v>точка</v>
      </c>
    </row>
    <row r="2317" ht="15.75" customHeight="1">
      <c r="A2317" s="1" t="s">
        <v>2261</v>
      </c>
      <c r="B2317" s="2" t="str">
        <f>IFERROR(__xludf.DUMMYFUNCTION("GOOGLETRANSLATE(A2317, ""de"", ""uk"")"),"словник")</f>
        <v>словник</v>
      </c>
    </row>
    <row r="2318" ht="15.75" customHeight="1">
      <c r="A2318" s="1" t="s">
        <v>2262</v>
      </c>
      <c r="B2318" s="2" t="str">
        <f>IFERROR(__xludf.DUMMYFUNCTION("GOOGLETRANSLATE(A2318, ""de"", ""uk"")"),"правило")</f>
        <v>правило</v>
      </c>
    </row>
    <row r="2319" ht="15.75" customHeight="1">
      <c r="A2319" s="1" t="s">
        <v>2263</v>
      </c>
      <c r="B2319" s="2" t="str">
        <f>IFERROR(__xludf.DUMMYFUNCTION("GOOGLETRANSLATE(A2319, ""de"", ""uk"")"),"виняток")</f>
        <v>виняток</v>
      </c>
    </row>
    <row r="2320" ht="15.75" customHeight="1">
      <c r="A2320" s="1" t="s">
        <v>2264</v>
      </c>
      <c r="B2320" s="2" t="str">
        <f>IFERROR(__xludf.DUMMYFUNCTION("GOOGLETRANSLATE(A2320, ""de"", ""uk"")"),"ідея")</f>
        <v>ідея</v>
      </c>
    </row>
    <row r="2321" ht="15.75" customHeight="1">
      <c r="A2321" s="1" t="s">
        <v>2265</v>
      </c>
      <c r="B2321" s="2" t="str">
        <f>IFERROR(__xludf.DUMMYFUNCTION("GOOGLETRANSLATE(A2321, ""de"", ""uk"")"),"висновок")</f>
        <v>висновок</v>
      </c>
    </row>
    <row r="2322" ht="15.75" customHeight="1">
      <c r="A2322" s="1" t="s">
        <v>2266</v>
      </c>
      <c r="B2322" s="2" t="str">
        <f>IFERROR(__xludf.DUMMYFUNCTION("GOOGLETRANSLATE(A2322, ""de"", ""uk"")"),"сторінку")</f>
        <v>сторінку</v>
      </c>
    </row>
    <row r="2323" ht="15.75" customHeight="1">
      <c r="A2323" s="1" t="s">
        <v>2267</v>
      </c>
      <c r="B2323" s="2" t="str">
        <f>IFERROR(__xludf.DUMMYFUNCTION("GOOGLETRANSLATE(A2323, ""de"", ""uk"")"),"урок")</f>
        <v>урок</v>
      </c>
    </row>
    <row r="2324" ht="15.75" customHeight="1">
      <c r="A2324" s="1" t="s">
        <v>2268</v>
      </c>
      <c r="B2324" s="2" t="str">
        <f>IFERROR(__xludf.DUMMYFUNCTION("GOOGLETRANSLATE(A2324, ""de"", ""uk"")"),"примітка")</f>
        <v>примітка</v>
      </c>
    </row>
    <row r="2325" ht="15.75" customHeight="1">
      <c r="A2325" s="1" t="s">
        <v>2269</v>
      </c>
      <c r="B2325" s="2" t="str">
        <f>IFERROR(__xludf.DUMMYFUNCTION("GOOGLETRANSLATE(A2325, ""de"", ""uk"")"),"правильно")</f>
        <v>правильно</v>
      </c>
    </row>
    <row r="2326" ht="15.75" customHeight="1">
      <c r="A2326" s="1" t="s">
        <v>2270</v>
      </c>
      <c r="B2326" s="2" t="str">
        <f>IFERROR(__xludf.DUMMYFUNCTION("GOOGLETRANSLATE(A2326, ""de"", ""uk"")"),"неправильно")</f>
        <v>неправильно</v>
      </c>
    </row>
    <row r="2327" ht="15.75" customHeight="1">
      <c r="A2327" s="1" t="s">
        <v>2271</v>
      </c>
      <c r="B2327" s="2" t="str">
        <f>IFERROR(__xludf.DUMMYFUNCTION("GOOGLETRANSLATE(A2327, ""de"", ""uk"")"),"цікаво")</f>
        <v>цікаво</v>
      </c>
    </row>
    <row r="2328" ht="15.75" customHeight="1">
      <c r="A2328" s="1" t="s">
        <v>2272</v>
      </c>
      <c r="B2328" s="2" t="str">
        <f>IFERROR(__xludf.DUMMYFUNCTION("GOOGLETRANSLATE(A2328, ""de"", ""uk"")"),"нудно")</f>
        <v>нудно</v>
      </c>
    </row>
    <row r="2329" ht="15.75" customHeight="1">
      <c r="A2329" s="1" t="s">
        <v>2273</v>
      </c>
      <c r="B2329" s="2" t="str">
        <f>IFERROR(__xludf.DUMMYFUNCTION("GOOGLETRANSLATE(A2329, ""de"", ""uk"")"),"просто")</f>
        <v>просто</v>
      </c>
    </row>
    <row r="2330" ht="15.75" customHeight="1">
      <c r="A2330" s="1" t="s">
        <v>1843</v>
      </c>
      <c r="B2330" s="2" t="str">
        <f>IFERROR(__xludf.DUMMYFUNCTION("GOOGLETRANSLATE(A2330, ""de"", ""uk"")"),"важко")</f>
        <v>важко</v>
      </c>
    </row>
    <row r="2331" ht="15.75" customHeight="1">
      <c r="A2331" s="1" t="s">
        <v>2274</v>
      </c>
      <c r="B2331" s="2" t="str">
        <f>IFERROR(__xludf.DUMMYFUNCTION("GOOGLETRANSLATE(A2331, ""de"", ""uk"")"),"інтенсивний")</f>
        <v>інтенсивний</v>
      </c>
    </row>
    <row r="2332" ht="15.75" customHeight="1">
      <c r="A2332" s="4" t="s">
        <v>2275</v>
      </c>
      <c r="B2332" s="2" t="str">
        <f>IFERROR(__xludf.DUMMYFUNCTION("GOOGLETRANSLATE(A2332, ""de"", ""uk"")"),"Дідусь грає з дитиною.")</f>
        <v>Дідусь грає з дитиною.</v>
      </c>
    </row>
    <row r="2333" ht="15.75" customHeight="1">
      <c r="A2333" s="4" t="s">
        <v>2276</v>
      </c>
      <c r="B2333" s="2" t="str">
        <f>IFERROR(__xludf.DUMMYFUNCTION("GOOGLETRANSLATE(A2333, ""de"", ""uk"")"),"Діти вчаться в школі.")</f>
        <v>Діти вчаться в школі.</v>
      </c>
    </row>
    <row r="2334" ht="15.75" customHeight="1">
      <c r="A2334" s="4" t="s">
        <v>2277</v>
      </c>
      <c r="B2334" s="2" t="str">
        <f>IFERROR(__xludf.DUMMYFUNCTION("GOOGLETRANSLATE(A2334, ""de"", ""uk"")"),"Молодь навчається в університеті.")</f>
        <v>Молодь навчається в університеті.</v>
      </c>
    </row>
    <row r="2335" ht="15.75" customHeight="1">
      <c r="A2335" s="4" t="s">
        <v>2278</v>
      </c>
      <c r="B2335" s="2" t="str">
        <f>IFERROR(__xludf.DUMMYFUNCTION("GOOGLETRANSLATE(A2335, ""de"", ""uk"")"),"Чи можу я вас щось запитати?")</f>
        <v>Чи можу я вас щось запитати?</v>
      </c>
    </row>
    <row r="2336" ht="15.75" customHeight="1">
      <c r="A2336" s="4" t="s">
        <v>2279</v>
      </c>
      <c r="B2336" s="2" t="str">
        <f>IFERROR(__xludf.DUMMYFUNCTION("GOOGLETRANSLATE(A2336, ""de"", ""uk"")"),"Коли ти мені нарешті відповіси?")</f>
        <v>Коли ти мені нарешті відповіси?</v>
      </c>
    </row>
    <row r="2337" ht="15.75" customHeight="1">
      <c r="A2337" s="4" t="s">
        <v>2280</v>
      </c>
      <c r="B2337" s="2" t="str">
        <f>IFERROR(__xludf.DUMMYFUNCTION("GOOGLETRANSLATE(A2337, ""de"", ""uk"")"),"Ви повинні відмітити правильну відповідь.")</f>
        <v>Ви повинні відмітити правильну відповідь.</v>
      </c>
    </row>
    <row r="2338" ht="15.75" customHeight="1">
      <c r="A2338" s="4" t="s">
        <v>2281</v>
      </c>
      <c r="B2338" s="2" t="str">
        <f>IFERROR(__xludf.DUMMYFUNCTION("GOOGLETRANSLATE(A2338, ""de"", ""uk"")"),"Ви можете написати це слово?")</f>
        <v>Ви можете написати це слово?</v>
      </c>
    </row>
    <row r="2339" ht="15.75" customHeight="1">
      <c r="A2339" s="4" t="s">
        <v>2282</v>
      </c>
      <c r="B2339" s="2" t="str">
        <f>IFERROR(__xludf.DUMMYFUNCTION("GOOGLETRANSLATE(A2339, ""de"", ""uk"")"),"Ми пишемо текст про Німеччину.")</f>
        <v>Ми пишемо текст про Німеччину.</v>
      </c>
    </row>
    <row r="2340" ht="15.75" customHeight="1">
      <c r="A2340" s="4" t="s">
        <v>2283</v>
      </c>
      <c r="B2340" s="2" t="str">
        <f>IFERROR(__xludf.DUMMYFUNCTION("GOOGLETRANSLATE(A2340, ""de"", ""uk"")"),"Ви читали книгу?")</f>
        <v>Ви читали книгу?</v>
      </c>
    </row>
    <row r="2341" ht="15.75" customHeight="1">
      <c r="A2341" s="4" t="s">
        <v>2284</v>
      </c>
      <c r="B2341" s="2" t="str">
        <f>IFERROR(__xludf.DUMMYFUNCTION("GOOGLETRANSLATE(A2341, ""de"", ""uk"")"),"Чоловік розмовляє з дружиною про свою машину.")</f>
        <v>Чоловік розмовляє з дружиною про свою машину.</v>
      </c>
    </row>
    <row r="2342" ht="15.75" customHeight="1">
      <c r="A2342" s="4" t="s">
        <v>2285</v>
      </c>
      <c r="B2342" s="2" t="str">
        <f>IFERROR(__xludf.DUMMYFUNCTION("GOOGLETRANSLATE(A2342, ""de"", ""uk"")"),"Ви чуєте дитину?")</f>
        <v>Ви чуєте дитину?</v>
      </c>
    </row>
    <row r="2343" ht="15.75" customHeight="1">
      <c r="A2343" s="4" t="s">
        <v>2286</v>
      </c>
      <c r="B2343" s="2" t="str">
        <f>IFERROR(__xludf.DUMMYFUNCTION("GOOGLETRANSLATE(A2343, ""de"", ""uk"")"),"я тебе не бачу")</f>
        <v>я тебе не бачу</v>
      </c>
    </row>
    <row r="2344" ht="15.75" customHeight="1">
      <c r="A2344" s="4" t="s">
        <v>2287</v>
      </c>
      <c r="B2344" s="2" t="str">
        <f>IFERROR(__xludf.DUMMYFUNCTION("GOOGLETRANSLATE(A2344, ""de"", ""uk"")"),"Учитель пояснює дітям завдання.")</f>
        <v>Учитель пояснює дітям завдання.</v>
      </c>
    </row>
    <row r="2345" ht="15.75" customHeight="1">
      <c r="A2345" s="4" t="s">
        <v>2288</v>
      </c>
      <c r="B2345" s="2" t="str">
        <f>IFERROR(__xludf.DUMMYFUNCTION("GOOGLETRANSLATE(A2345, ""de"", ""uk"")"),"Необхідно позначити слова, які вам незрозумілі.")</f>
        <v>Необхідно позначити слова, які вам незрозумілі.</v>
      </c>
    </row>
    <row r="2346" ht="15.75" customHeight="1">
      <c r="A2346" s="4" t="s">
        <v>2289</v>
      </c>
      <c r="B2346" s="2" t="str">
        <f>IFERROR(__xludf.DUMMYFUNCTION("GOOGLETRANSLATE(A2346, ""de"", ""uk"")"),"Чи можу я записати ваш номер телефону?")</f>
        <v>Чи можу я записати ваш номер телефону?</v>
      </c>
    </row>
    <row r="2347" ht="15.75" customHeight="1">
      <c r="A2347" s="4" t="s">
        <v>2290</v>
      </c>
      <c r="B2347" s="2" t="str">
        <f>IFERROR(__xludf.DUMMYFUNCTION("GOOGLETRANSLATE(A2347, ""de"", ""uk"")"),"Ви повинні завершити речення.")</f>
        <v>Ви повинні завершити речення.</v>
      </c>
    </row>
    <row r="2348" ht="15.75" customHeight="1">
      <c r="A2348" s="4" t="s">
        <v>2291</v>
      </c>
      <c r="B2348" s="2" t="str">
        <f>IFERROR(__xludf.DUMMYFUNCTION("GOOGLETRANSLATE(A2348, ""de"", ""uk"")"),"Учитель контролює контрольну роботу.")</f>
        <v>Учитель контролює контрольну роботу.</v>
      </c>
    </row>
    <row r="2349" ht="15.75" customHeight="1">
      <c r="A2349" s="4" t="s">
        <v>2292</v>
      </c>
      <c r="B2349" s="2" t="str">
        <f>IFERROR(__xludf.DUMMYFUNCTION("GOOGLETRANSLATE(A2349, ""de"", ""uk"")"),"Якщо ви не знаєте, ви повинні вгадати.")</f>
        <v>Якщо ви не знаєте, ви повинні вгадати.</v>
      </c>
    </row>
    <row r="2350" ht="15.75" customHeight="1">
      <c r="A2350" s="4" t="s">
        <v>2293</v>
      </c>
      <c r="B2350" s="2" t="str">
        <f>IFERROR(__xludf.DUMMYFUNCTION("GOOGLETRANSLATE(A2350, ""de"", ""uk"")"),"Чи правильне моє рішення?")</f>
        <v>Чи правильне моє рішення?</v>
      </c>
    </row>
    <row r="2351" ht="15.75" customHeight="1">
      <c r="A2351" s="4" t="s">
        <v>2294</v>
      </c>
      <c r="B2351" s="2" t="str">
        <f>IFERROR(__xludf.DUMMYFUNCTION("GOOGLETRANSLATE(A2351, ""de"", ""uk"")"),"Треба ще багато тренуватися.")</f>
        <v>Треба ще багато тренуватися.</v>
      </c>
    </row>
    <row r="2352" ht="15.75" customHeight="1">
      <c r="A2352" s="4" t="s">
        <v>2295</v>
      </c>
      <c r="B2352" s="2" t="str">
        <f>IFERROR(__xludf.DUMMYFUNCTION("GOOGLETRANSLATE(A2352, ""de"", ""uk"")"),"Будь ласка, подумайте про це трохи більше.")</f>
        <v>Будь ласка, подумайте про це трохи більше.</v>
      </c>
    </row>
    <row r="2353" ht="15.75" customHeight="1">
      <c r="A2353" s="4" t="s">
        <v>2296</v>
      </c>
      <c r="B2353" s="2" t="str">
        <f>IFERROR(__xludf.DUMMYFUNCTION("GOOGLETRANSLATE(A2353, ""de"", ""uk"")"),"Хто хоче прочитати текст?")</f>
        <v>Хто хоче прочитати текст?</v>
      </c>
    </row>
    <row r="2354" ht="15.75" customHeight="1">
      <c r="A2354" s="4" t="s">
        <v>2297</v>
      </c>
      <c r="B2354" s="2" t="str">
        <f>IFERROR(__xludf.DUMMYFUNCTION("GOOGLETRANSLATE(A2354, ""de"", ""uk"")"),"Хто знає правильну відповідь?")</f>
        <v>Хто знає правильну відповідь?</v>
      </c>
    </row>
    <row r="2355" ht="15.75" customHeight="1">
      <c r="A2355" s="4" t="s">
        <v>2298</v>
      </c>
      <c r="B2355" s="2" t="str">
        <f>IFERROR(__xludf.DUMMYFUNCTION("GOOGLETRANSLATE(A2355, ""de"", ""uk"")"),"Ти зламав його, тепер ти повинен замінити його для мене.")</f>
        <v>Ти зламав його, тепер ти повинен замінити його для мене.</v>
      </c>
    </row>
    <row r="2356" ht="15.75" customHeight="1">
      <c r="A2356" s="4" t="s">
        <v>2299</v>
      </c>
      <c r="B2356" s="2" t="str">
        <f>IFERROR(__xludf.DUMMYFUNCTION("GOOGLETRANSLATE(A2356, ""de"", ""uk"")"),"Ви повинні мене вислухати.")</f>
        <v>Ви повинні мене вислухати.</v>
      </c>
    </row>
    <row r="2357" ht="15.75" customHeight="1">
      <c r="A2357" s="4" t="s">
        <v>2300</v>
      </c>
      <c r="B2357" s="2" t="str">
        <f>IFERROR(__xludf.DUMMYFUNCTION("GOOGLETRANSLATE(A2357, ""de"", ""uk"")"),"Зверніть увагу на третє завдання.")</f>
        <v>Зверніть увагу на третє завдання.</v>
      </c>
    </row>
    <row r="2358" ht="15.75" customHeight="1">
      <c r="A2358" s="4" t="s">
        <v>2301</v>
      </c>
      <c r="B2358" s="2" t="str">
        <f>IFERROR(__xludf.DUMMYFUNCTION("GOOGLETRANSLATE(A2358, ""de"", ""uk"")"),"Запишіть, будь ласка, домашнє завдання у свій зошит.")</f>
        <v>Запишіть, будь ласка, домашнє завдання у свій зошит.</v>
      </c>
    </row>
    <row r="2359" ht="15.75" customHeight="1">
      <c r="A2359" s="4" t="s">
        <v>2302</v>
      </c>
      <c r="B2359" s="2" t="str">
        <f>IFERROR(__xludf.DUMMYFUNCTION("GOOGLETRANSLATE(A2359, ""de"", ""uk"")"),"Будь ласка, виправте неправильні відповіді.")</f>
        <v>Будь ласка, виправте неправильні відповіді.</v>
      </c>
    </row>
    <row r="2360" ht="15.75" customHeight="1">
      <c r="A2360" s="4" t="s">
        <v>2303</v>
      </c>
      <c r="B2360" s="2" t="str">
        <f>IFERROR(__xludf.DUMMYFUNCTION("GOOGLETRANSLATE(A2360, ""de"", ""uk"")"),"Ви можете знайти це слово в словнику.")</f>
        <v>Ви можете знайти це слово в словнику.</v>
      </c>
    </row>
    <row r="2361" ht="15.75" customHeight="1">
      <c r="A2361" s="4" t="s">
        <v>2304</v>
      </c>
      <c r="B2361" s="2" t="str">
        <f>IFERROR(__xludf.DUMMYFUNCTION("GOOGLETRANSLATE(A2361, ""de"", ""uk"")"),"Чи можете ви повторити це?")</f>
        <v>Чи можете ви повторити це?</v>
      </c>
    </row>
    <row r="2362" ht="15.75" customHeight="1">
      <c r="A2362" s="4" t="s">
        <v>2305</v>
      </c>
      <c r="B2362" s="2" t="str">
        <f>IFERROR(__xludf.DUMMYFUNCTION("GOOGLETRANSLATE(A2362, ""de"", ""uk"")"),"Маленькі дітки ходять у садочок.")</f>
        <v>Маленькі дітки ходять у садочок.</v>
      </c>
    </row>
    <row r="2363" ht="15.75" customHeight="1">
      <c r="A2363" s="4" t="s">
        <v>2306</v>
      </c>
      <c r="B2363" s="2" t="str">
        <f>IFERROR(__xludf.DUMMYFUNCTION("GOOGLETRANSLATE(A2363, ""de"", ""uk"")"),"Діти не слухають вчителів.")</f>
        <v>Діти не слухають вчителів.</v>
      </c>
    </row>
    <row r="2364" ht="15.75" customHeight="1">
      <c r="A2364" s="4" t="s">
        <v>2307</v>
      </c>
      <c r="B2364" s="2" t="str">
        <f>IFERROR(__xludf.DUMMYFUNCTION("GOOGLETRANSLATE(A2364, ""de"", ""uk"")"),"Для дитячого садка потрібно багато іграшок.")</f>
        <v>Для дитячого садка потрібно багато іграшок.</v>
      </c>
    </row>
    <row r="2365" ht="15.75" customHeight="1">
      <c r="A2365" s="4" t="s">
        <v>2308</v>
      </c>
      <c r="B2365" s="2" t="str">
        <f>IFERROR(__xludf.DUMMYFUNCTION("GOOGLETRANSLATE(A2365, ""de"", ""uk"")"),"У школі можна чогось навчитися.")</f>
        <v>У школі можна чогось навчитися.</v>
      </c>
    </row>
    <row r="2366" ht="15.75" customHeight="1">
      <c r="A2366" s="4" t="s">
        <v>2309</v>
      </c>
      <c r="B2366" s="2" t="str">
        <f>IFERROR(__xludf.DUMMYFUNCTION("GOOGLETRANSLATE(A2366, ""de"", ""uk"")"),"Учні виконують домашнє завдання.")</f>
        <v>Учні виконують домашнє завдання.</v>
      </c>
    </row>
    <row r="2367" ht="15.75" customHeight="1">
      <c r="A2367" s="4" t="s">
        <v>2310</v>
      </c>
      <c r="B2367" s="2" t="str">
        <f>IFERROR(__xludf.DUMMYFUNCTION("GOOGLETRANSLATE(A2367, ""de"", ""uk"")"),"Учитель запитує учнів.")</f>
        <v>Учитель запитує учнів.</v>
      </c>
    </row>
    <row r="2368" ht="15.75" customHeight="1">
      <c r="A2368" s="4" t="s">
        <v>2311</v>
      </c>
      <c r="B2368" s="2" t="str">
        <f>IFERROR(__xludf.DUMMYFUNCTION("GOOGLETRANSLATE(A2368, ""de"", ""uk"")"),"В університеті треба багато вчитися.")</f>
        <v>В університеті треба багато вчитися.</v>
      </c>
    </row>
    <row r="2369" ht="15.75" customHeight="1">
      <c r="A2369" s="4" t="s">
        <v>2312</v>
      </c>
      <c r="B2369" s="2" t="str">
        <f>IFERROR(__xludf.DUMMYFUNCTION("GOOGLETRANSLATE(A2369, ""de"", ""uk"")"),"Викладач дає дуже гарні уроки.")</f>
        <v>Викладач дає дуже гарні уроки.</v>
      </c>
    </row>
    <row r="2370" ht="15.75" customHeight="1">
      <c r="A2370" s="4" t="s">
        <v>2313</v>
      </c>
      <c r="B2370" s="2" t="str">
        <f>IFERROR(__xludf.DUMMYFUNCTION("GOOGLETRANSLATE(A2370, ""de"", ""uk"")"),"Учні не виконали завдання.")</f>
        <v>Учні не виконали завдання.</v>
      </c>
    </row>
    <row r="2371" ht="15.75" customHeight="1">
      <c r="A2371" s="4" t="s">
        <v>2314</v>
      </c>
      <c r="B2371" s="2" t="str">
        <f>IFERROR(__xludf.DUMMYFUNCTION("GOOGLETRANSLATE(A2371, ""de"", ""uk"")"),"У мене питання.")</f>
        <v>У мене питання.</v>
      </c>
    </row>
    <row r="2372" ht="15.75" customHeight="1">
      <c r="A2372" s="4" t="s">
        <v>2315</v>
      </c>
      <c r="B2372" s="2" t="str">
        <f>IFERROR(__xludf.DUMMYFUNCTION("GOOGLETRANSLATE(A2372, ""de"", ""uk"")"),"Ви знаєте відповідь?")</f>
        <v>Ви знаєте відповідь?</v>
      </c>
    </row>
    <row r="2373" ht="15.75" customHeight="1">
      <c r="A2373" s="4" t="s">
        <v>2316</v>
      </c>
      <c r="B2373" s="2" t="str">
        <f>IFERROR(__xludf.DUMMYFUNCTION("GOOGLETRANSLATE(A2373, ""de"", ""uk"")"),"У тесті шістдесят завдань.")</f>
        <v>У тесті шістдесят завдань.</v>
      </c>
    </row>
    <row r="2374" ht="15.75" customHeight="1">
      <c r="A2374" s="4" t="s">
        <v>2317</v>
      </c>
      <c r="B2374" s="2" t="str">
        <f>IFERROR(__xludf.DUMMYFUNCTION("GOOGLETRANSLATE(A2374, ""de"", ""uk"")"),"Я знаю рішення.")</f>
        <v>Я знаю рішення.</v>
      </c>
    </row>
    <row r="2375" ht="15.75" customHeight="1">
      <c r="A2375" s="4" t="s">
        <v>2318</v>
      </c>
      <c r="B2375" s="2" t="str">
        <f>IFERROR(__xludf.DUMMYFUNCTION("GOOGLETRANSLATE(A2375, ""de"", ""uk"")"),"У моєї дочки нуль помилок в тесті.")</f>
        <v>У моєї дочки нуль помилок в тесті.</v>
      </c>
    </row>
    <row r="2376" ht="15.75" customHeight="1">
      <c r="A2376" s="4" t="s">
        <v>2319</v>
      </c>
      <c r="B2376" s="2" t="str">
        <f>IFERROR(__xludf.DUMMYFUNCTION("GOOGLETRANSLATE(A2376, ""de"", ""uk"")"),"Студенти готуються до іспиту.")</f>
        <v>Студенти готуються до іспиту.</v>
      </c>
    </row>
    <row r="2377" ht="15.75" customHeight="1">
      <c r="A2377" s="4" t="s">
        <v>2320</v>
      </c>
      <c r="B2377" s="2" t="str">
        <f>IFERROR(__xludf.DUMMYFUNCTION("GOOGLETRANSLATE(A2377, ""de"", ""uk"")"),"Лікар робить тест.")</f>
        <v>Лікар робить тест.</v>
      </c>
    </row>
    <row r="2378" ht="15.75" customHeight="1">
      <c r="A2378" s="4" t="s">
        <v>2321</v>
      </c>
      <c r="B2378" s="2" t="str">
        <f>IFERROR(__xludf.DUMMYFUNCTION("GOOGLETRANSLATE(A2378, ""de"", ""uk"")"),"Що це за лист такий?")</f>
        <v>Що це за лист такий?</v>
      </c>
    </row>
    <row r="2379" ht="15.75" customHeight="1">
      <c r="A2379" s="4" t="s">
        <v>2322</v>
      </c>
      <c r="B2379" s="2" t="str">
        <f>IFERROR(__xludf.DUMMYFUNCTION("GOOGLETRANSLATE(A2379, ""de"", ""uk"")"),"Мені бракує слів.")</f>
        <v>Мені бракує слів.</v>
      </c>
    </row>
    <row r="2380" ht="15.75" customHeight="1">
      <c r="A2380" s="4" t="s">
        <v>2323</v>
      </c>
      <c r="B2380" s="2" t="str">
        <f>IFERROR(__xludf.DUMMYFUNCTION("GOOGLETRANSLATE(A2380, ""de"", ""uk"")"),"Чи можете ви говорити повними реченнями.")</f>
        <v>Чи можете ви говорити повними реченнями.</v>
      </c>
    </row>
    <row r="2381" ht="15.75" customHeight="1">
      <c r="A2381" s="4" t="s">
        <v>2324</v>
      </c>
      <c r="B2381" s="2" t="str">
        <f>IFERROR(__xludf.DUMMYFUNCTION("GOOGLETRANSLATE(A2381, ""de"", ""uk"")"),"Що в тексті?")</f>
        <v>Що в тексті?</v>
      </c>
    </row>
    <row r="2382" ht="15.75" customHeight="1">
      <c r="A2382" s="4" t="s">
        <v>2325</v>
      </c>
      <c r="B2382" s="2" t="str">
        <f>IFERROR(__xludf.DUMMYFUNCTION("GOOGLETRANSLATE(A2382, ""de"", ""uk"")"),"Ви можете дати мені свою ручку.")</f>
        <v>Ви можете дати мені свою ручку.</v>
      </c>
    </row>
    <row r="2383" ht="15.75" customHeight="1">
      <c r="A2383" s="4" t="s">
        <v>2326</v>
      </c>
      <c r="B2383" s="2" t="str">
        <f>IFERROR(__xludf.DUMMYFUNCTION("GOOGLETRANSLATE(A2383, ""de"", ""uk"")"),"Будь ласка, напишіть своє ім'я на папері.")</f>
        <v>Будь ласка, напишіть своє ім'я на папері.</v>
      </c>
    </row>
    <row r="2384" ht="15.75" customHeight="1">
      <c r="A2384" s="4" t="s">
        <v>2327</v>
      </c>
      <c r="B2384" s="2" t="str">
        <f>IFERROR(__xludf.DUMMYFUNCTION("GOOGLETRANSLATE(A2384, ""de"", ""uk"")"),"Будь ласка, відкрийте свої книги.")</f>
        <v>Будь ласка, відкрийте свої книги.</v>
      </c>
    </row>
    <row r="2385" ht="15.75" customHeight="1">
      <c r="A2385" s="4" t="s">
        <v>2328</v>
      </c>
      <c r="B2385" s="2" t="str">
        <f>IFERROR(__xludf.DUMMYFUNCTION("GOOGLETRANSLATE(A2385, ""de"", ""uk"")"),"Вчитель носить окуляри.")</f>
        <v>Вчитель носить окуляри.</v>
      </c>
    </row>
    <row r="2386" ht="15.75" customHeight="1">
      <c r="A2386" s="4" t="s">
        <v>2329</v>
      </c>
      <c r="B2386" s="2" t="str">
        <f>IFERROR(__xludf.DUMMYFUNCTION("GOOGLETRANSLATE(A2386, ""de"", ""uk"")"),"Початок завжди найважчий.")</f>
        <v>Початок завжди найважчий.</v>
      </c>
    </row>
    <row r="2387" ht="15.75" customHeight="1">
      <c r="A2387" s="4" t="s">
        <v>2330</v>
      </c>
      <c r="B2387" s="2" t="str">
        <f>IFERROR(__xludf.DUMMYFUNCTION("GOOGLETRANSLATE(A2387, ""de"", ""uk"")"),"Я пройшов половину іспиту.")</f>
        <v>Я пройшов половину іспиту.</v>
      </c>
    </row>
    <row r="2388" ht="15.75" customHeight="1">
      <c r="A2388" s="4" t="s">
        <v>2331</v>
      </c>
      <c r="B2388" s="2" t="str">
        <f>IFERROR(__xludf.DUMMYFUNCTION("GOOGLETRANSLATE(A2388, ""de"", ""uk"")"),"Ми підійшли до кінця сьогоднішнього уроку.")</f>
        <v>Ми підійшли до кінця сьогоднішнього уроку.</v>
      </c>
    </row>
    <row r="2389" ht="15.75" customHeight="1">
      <c r="A2389" s="4" t="s">
        <v>2332</v>
      </c>
      <c r="B2389" s="2" t="str">
        <f>IFERROR(__xludf.DUMMYFUNCTION("GOOGLETRANSLATE(A2389, ""de"", ""uk"")"),"Дорослі можуть навчатися в центрі освіти дорослих.")</f>
        <v>Дорослі можуть навчатися в центрі освіти дорослих.</v>
      </c>
    </row>
    <row r="2390" ht="15.75" customHeight="1">
      <c r="A2390" s="4" t="s">
        <v>2333</v>
      </c>
      <c r="B2390" s="2" t="str">
        <f>IFERROR(__xludf.DUMMYFUNCTION("GOOGLETRANSLATE(A2390, ""de"", ""uk"")"),"Наведіть, будь ласка, приклад цього слова.")</f>
        <v>Наведіть, будь ласка, приклад цього слова.</v>
      </c>
    </row>
    <row r="2391" ht="15.75" customHeight="1">
      <c r="A2391" s="4" t="s">
        <v>2334</v>
      </c>
      <c r="B2391" s="2" t="str">
        <f>IFERROR(__xludf.DUMMYFUNCTION("GOOGLETRANSLATE(A2391, ""de"", ""uk"")"),"Курс дуже важкий.")</f>
        <v>Курс дуже важкий.</v>
      </c>
    </row>
    <row r="2392" ht="15.75" customHeight="1">
      <c r="A2392" s="4" t="s">
        <v>2335</v>
      </c>
      <c r="B2392" s="2" t="str">
        <f>IFERROR(__xludf.DUMMYFUNCTION("GOOGLETRANSLATE(A2392, ""de"", ""uk"")"),"Будь ласка, впишіть свій номер телефону в список.")</f>
        <v>Будь ласка, впишіть свій номер телефону в список.</v>
      </c>
    </row>
    <row r="2393" ht="15.75" customHeight="1">
      <c r="A2393" s="4" t="s">
        <v>2336</v>
      </c>
      <c r="B2393" s="2" t="str">
        <f>IFERROR(__xludf.DUMMYFUNCTION("GOOGLETRANSLATE(A2393, ""de"", ""uk"")"),"Мій олівець зламався.")</f>
        <v>Мій олівець зламався.</v>
      </c>
    </row>
    <row r="2394" ht="15.75" customHeight="1">
      <c r="A2394" s="4" t="s">
        <v>2337</v>
      </c>
      <c r="B2394" s="2" t="str">
        <f>IFERROR(__xludf.DUMMYFUNCTION("GOOGLETRANSLATE(A2394, ""de"", ""uk"")"),"Я записала завдання в зошит.")</f>
        <v>Я записала завдання в зошит.</v>
      </c>
    </row>
    <row r="2395" ht="15.75" customHeight="1">
      <c r="A2395" s="4" t="s">
        <v>2338</v>
      </c>
      <c r="B2395" s="2" t="str">
        <f>IFERROR(__xludf.DUMMYFUNCTION("GOOGLETRANSLATE(A2395, ""de"", ""uk"")"),"Я віддаю перевагу писати ручкою.")</f>
        <v>Я віддаю перевагу писати ручкою.</v>
      </c>
    </row>
    <row r="2396" ht="15.75" customHeight="1">
      <c r="A2396" s="4" t="s">
        <v>2339</v>
      </c>
      <c r="B2396" s="2" t="str">
        <f>IFERROR(__xludf.DUMMYFUNCTION("GOOGLETRANSLATE(A2396, ""de"", ""uk"")"),"Мама ріже папір ножицями.")</f>
        <v>Мама ріже папір ножицями.</v>
      </c>
    </row>
    <row r="2397" ht="15.75" customHeight="1">
      <c r="A2397" s="4" t="s">
        <v>2340</v>
      </c>
      <c r="B2397" s="2" t="str">
        <f>IFERROR(__xludf.DUMMYFUNCTION("GOOGLETRANSLATE(A2397, ""de"", ""uk"")"),"Ви зробили домашнє завдання?")</f>
        <v>Ви зробили домашнє завдання?</v>
      </c>
    </row>
    <row r="2398" ht="15.75" customHeight="1">
      <c r="A2398" s="4" t="s">
        <v>2341</v>
      </c>
      <c r="B2398" s="2" t="str">
        <f>IFERROR(__xludf.DUMMYFUNCTION("GOOGLETRANSLATE(A2398, ""de"", ""uk"")"),"Будь ласка, складіть таблицю.")</f>
        <v>Будь ласка, складіть таблицю.</v>
      </c>
    </row>
    <row r="2399" ht="15.75" customHeight="1">
      <c r="A2399" s="4" t="s">
        <v>2342</v>
      </c>
      <c r="B2399" s="2" t="str">
        <f>IFERROR(__xludf.DUMMYFUNCTION("GOOGLETRANSLATE(A2399, ""de"", ""uk"")"),"Учитель записує речення на дошці.")</f>
        <v>Учитель записує речення на дошці.</v>
      </c>
    </row>
    <row r="2400" ht="15.75" customHeight="1">
      <c r="A2400" s="4" t="s">
        <v>2343</v>
      </c>
      <c r="B2400" s="2" t="str">
        <f>IFERROR(__xludf.DUMMYFUNCTION("GOOGLETRANSLATE(A2400, ""de"", ""uk"")"),"Весь клас сміється з вчителя.")</f>
        <v>Весь клас сміється з вчителя.</v>
      </c>
    </row>
    <row r="2401" ht="15.75" customHeight="1">
      <c r="A2401" s="4" t="s">
        <v>2344</v>
      </c>
      <c r="B2401" s="2" t="str">
        <f>IFERROR(__xludf.DUMMYFUNCTION("GOOGLETRANSLATE(A2401, ""de"", ""uk"")"),"Твоє вираз поганий.")</f>
        <v>Твоє вираз поганий.</v>
      </c>
    </row>
    <row r="2402" ht="15.75" customHeight="1">
      <c r="A2402" s="4" t="s">
        <v>2345</v>
      </c>
      <c r="B2402" s="2" t="str">
        <f>IFERROR(__xludf.DUMMYFUNCTION("GOOGLETRANSLATE(A2402, ""de"", ""uk"")"),"Учні конспектують.")</f>
        <v>Учні конспектують.</v>
      </c>
    </row>
    <row r="2403" ht="15.75" customHeight="1">
      <c r="A2403" s="4" t="s">
        <v>2346</v>
      </c>
      <c r="B2403" s="2" t="str">
        <f>IFERROR(__xludf.DUMMYFUNCTION("GOOGLETRANSLATE(A2403, ""de"", ""uk"")"),"Який це випадок?")</f>
        <v>Який це випадок?</v>
      </c>
    </row>
    <row r="2404" ht="15.75" customHeight="1">
      <c r="A2404" s="4" t="s">
        <v>2347</v>
      </c>
      <c r="B2404" s="2" t="str">
        <f>IFERROR(__xludf.DUMMYFUNCTION("GOOGLETRANSLATE(A2404, ""de"", ""uk"")"),"У кінці речення стоїть крапка.")</f>
        <v>У кінці речення стоїть крапка.</v>
      </c>
    </row>
    <row r="2405" ht="15.75" customHeight="1">
      <c r="A2405" s="4" t="s">
        <v>2348</v>
      </c>
      <c r="B2405" s="2" t="str">
        <f>IFERROR(__xludf.DUMMYFUNCTION("GOOGLETRANSLATE(A2405, ""de"", ""uk"")"),"Будь ласка, знайдіть слово в словнику.")</f>
        <v>Будь ласка, знайдіть слово в словнику.</v>
      </c>
    </row>
    <row r="2406" ht="15.75" customHeight="1">
      <c r="A2406" s="4" t="s">
        <v>2349</v>
      </c>
      <c r="B2406" s="2" t="str">
        <f>IFERROR(__xludf.DUMMYFUNCTION("GOOGLETRANSLATE(A2406, ""de"", ""uk"")"),"Ви знаєте правило?")</f>
        <v>Ви знаєте правило?</v>
      </c>
    </row>
    <row r="2407" ht="15.75" customHeight="1">
      <c r="A2407" s="4" t="s">
        <v>2350</v>
      </c>
      <c r="B2407" s="2" t="str">
        <f>IFERROR(__xludf.DUMMYFUNCTION("GOOGLETRANSLATE(A2407, ""de"", ""uk"")"),"Це виняток.")</f>
        <v>Це виняток.</v>
      </c>
    </row>
    <row r="2408" ht="15.75" customHeight="1">
      <c r="A2408" s="4" t="s">
        <v>2351</v>
      </c>
      <c r="B2408" s="2" t="str">
        <f>IFERROR(__xludf.DUMMYFUNCTION("GOOGLETRANSLATE(A2408, ""de"", ""uk"")"),"У мене є ідея.")</f>
        <v>У мене є ідея.</v>
      </c>
    </row>
    <row r="2409" ht="15.75" customHeight="1">
      <c r="A2409" s="4" t="s">
        <v>2352</v>
      </c>
      <c r="B2409" s="2" t="str">
        <f>IFERROR(__xludf.DUMMYFUNCTION("GOOGLETRANSLATE(A2409, ""de"", ""uk"")"),"На сьогодні все закінчилось.")</f>
        <v>На сьогодні все закінчилось.</v>
      </c>
    </row>
    <row r="2410" ht="15.75" customHeight="1">
      <c r="A2410" s="4" t="s">
        <v>2353</v>
      </c>
      <c r="B2410" s="2" t="str">
        <f>IFERROR(__xludf.DUMMYFUNCTION("GOOGLETRANSLATE(A2410, ""de"", ""uk"")"),"Книга має понад двісті сторінок.")</f>
        <v>Книга має понад двісті сторінок.</v>
      </c>
    </row>
    <row r="2411" ht="15.75" customHeight="1">
      <c r="A2411" s="4" t="s">
        <v>2354</v>
      </c>
      <c r="B2411" s="2" t="str">
        <f>IFERROR(__xludf.DUMMYFUNCTION("GOOGLETRANSLATE(A2411, ""de"", ""uk"")"),"Уроки з паном Мюллером дійсно інтенсивні.")</f>
        <v>Уроки з паном Мюллером дійсно інтенсивні.</v>
      </c>
    </row>
    <row r="2412" ht="15.75" customHeight="1">
      <c r="A2412" s="4" t="s">
        <v>2355</v>
      </c>
      <c r="B2412" s="2" t="str">
        <f>IFERROR(__xludf.DUMMYFUNCTION("GOOGLETRANSLATE(A2412, ""de"", ""uk"")"),"Чи можете ви дати мені маленький аркуш паперу, щоб я міг записати ваш номер телефону.")</f>
        <v>Чи можете ви дати мені маленький аркуш паперу, щоб я міг записати ваш номер телефону.</v>
      </c>
    </row>
    <row r="2413" ht="15.75" customHeight="1">
      <c r="A2413" s="4" t="s">
        <v>2356</v>
      </c>
      <c r="B2413" s="2" t="str">
        <f>IFERROR(__xludf.DUMMYFUNCTION("GOOGLETRANSLATE(A2413, ""de"", ""uk"")"),"це правильно?")</f>
        <v>це правильно?</v>
      </c>
    </row>
    <row r="2414" ht="15.75" customHeight="1">
      <c r="A2414" s="4" t="s">
        <v>2357</v>
      </c>
      <c r="B2414" s="2" t="str">
        <f>IFERROR(__xludf.DUMMYFUNCTION("GOOGLETRANSLATE(A2414, ""de"", ""uk"")"),"Це неправильно.")</f>
        <v>Це неправильно.</v>
      </c>
    </row>
    <row r="2415" ht="15.75" customHeight="1">
      <c r="A2415" s="4" t="s">
        <v>2358</v>
      </c>
      <c r="B2415" s="2" t="str">
        <f>IFERROR(__xludf.DUMMYFUNCTION("GOOGLETRANSLATE(A2415, ""de"", ""uk"")"),"Книга дуже цікава.")</f>
        <v>Книга дуже цікава.</v>
      </c>
    </row>
    <row r="2416" ht="15.75" customHeight="1">
      <c r="A2416" s="4" t="s">
        <v>2359</v>
      </c>
      <c r="B2416" s="2" t="str">
        <f>IFERROR(__xludf.DUMMYFUNCTION("GOOGLETRANSLATE(A2416, ""de"", ""uk"")"),"Його заняття дійсно нудні.")</f>
        <v>Його заняття дійсно нудні.</v>
      </c>
    </row>
    <row r="2417" ht="15.75" customHeight="1">
      <c r="A2417" s="4" t="s">
        <v>2360</v>
      </c>
      <c r="B2417" s="2" t="str">
        <f>IFERROR(__xludf.DUMMYFUNCTION("GOOGLETRANSLATE(A2417, ""de"", ""uk"")"),"Тест був дуже простий.")</f>
        <v>Тест був дуже простий.</v>
      </c>
    </row>
    <row r="2418" ht="15.75" customHeight="1">
      <c r="A2418" s="4" t="s">
        <v>2361</v>
      </c>
      <c r="B2418" s="2" t="str">
        <f>IFERROR(__xludf.DUMMYFUNCTION("GOOGLETRANSLATE(A2418, ""de"", ""uk"")"),"Завдання надто складне для учнів.")</f>
        <v>Завдання надто складне для учнів.</v>
      </c>
    </row>
    <row r="2419" ht="15.75" customHeight="1">
      <c r="A2419" s="4" t="s">
        <v>2362</v>
      </c>
      <c r="B2419" s="2" t="str">
        <f>IFERROR(__xludf.DUMMYFUNCTION("GOOGLETRANSLATE(A2419, ""de"", ""uk"")"),"Нарешті ми маємо зараз інтенсивно вчитися.")</f>
        <v>Нарешті ми маємо зараз інтенсивно вчитися.</v>
      </c>
    </row>
    <row r="2420" ht="15.75" customHeight="1">
      <c r="A2420" s="1" t="s">
        <v>2363</v>
      </c>
      <c r="B2420" s="2" t="str">
        <f>IFERROR(__xludf.DUMMYFUNCTION("GOOGLETRANSLATE(A2420, ""de"", ""uk"")"),"зробити телефонний дзвінок")</f>
        <v>зробити телефонний дзвінок</v>
      </c>
    </row>
    <row r="2421" ht="15.75" customHeight="1">
      <c r="A2421" s="1" t="s">
        <v>2364</v>
      </c>
      <c r="B2421" s="2" t="str">
        <f>IFERROR(__xludf.DUMMYFUNCTION("GOOGLETRANSLATE(A2421, ""de"", ""uk"")"),"текст")</f>
        <v>текст</v>
      </c>
    </row>
    <row r="2422" ht="15.75" customHeight="1">
      <c r="A2422" s="1" t="s">
        <v>2365</v>
      </c>
      <c r="B2422" s="2" t="str">
        <f>IFERROR(__xludf.DUMMYFUNCTION("GOOGLETRANSLATE(A2422, ""de"", ""uk"")"),"натисніть")</f>
        <v>натисніть</v>
      </c>
    </row>
    <row r="2423" ht="15.75" customHeight="1">
      <c r="A2423" s="1" t="s">
        <v>2366</v>
      </c>
      <c r="B2423" s="2" t="str">
        <f>IFERROR(__xludf.DUMMYFUNCTION("GOOGLETRANSLATE(A2423, ""de"", ""uk"")"),"телевізор")</f>
        <v>телевізор</v>
      </c>
    </row>
    <row r="2424" ht="15.75" customHeight="1">
      <c r="A2424" s="1" t="s">
        <v>2367</v>
      </c>
      <c r="B2424" s="2" t="str">
        <f>IFERROR(__xludf.DUMMYFUNCTION("GOOGLETRANSLATE(A2424, ""de"", ""uk"")"),"виклик")</f>
        <v>виклик</v>
      </c>
    </row>
    <row r="2425" ht="15.75" customHeight="1">
      <c r="A2425" s="1" t="s">
        <v>2368</v>
      </c>
      <c r="B2425" s="2" t="str">
        <f>IFERROR(__xludf.DUMMYFUNCTION("GOOGLETRANSLATE(A2425, ""de"", ""uk"")"),"досягти")</f>
        <v>досягти</v>
      </c>
    </row>
    <row r="2426" ht="15.75" customHeight="1">
      <c r="A2426" s="1" t="s">
        <v>2369</v>
      </c>
      <c r="B2426" s="2" t="str">
        <f>IFERROR(__xludf.DUMMYFUNCTION("GOOGLETRANSLATE(A2426, ""de"", ""uk"")"),"у всьому світі")</f>
        <v>у всьому світі</v>
      </c>
    </row>
    <row r="2427" ht="15.75" customHeight="1">
      <c r="A2427" s="1" t="s">
        <v>2370</v>
      </c>
      <c r="B2427" s="2" t="str">
        <f>IFERROR(__xludf.DUMMYFUNCTION("GOOGLETRANSLATE(A2427, ""de"", ""uk"")"),"згоден")</f>
        <v>згоден</v>
      </c>
    </row>
    <row r="2428" ht="15.75" customHeight="1">
      <c r="A2428" s="1" t="s">
        <v>2371</v>
      </c>
      <c r="B2428" s="2" t="str">
        <f>IFERROR(__xludf.DUMMYFUNCTION("GOOGLETRANSLATE(A2428, ""de"", ""uk"")"),"преса")</f>
        <v>преса</v>
      </c>
    </row>
    <row r="2429" ht="15.75" customHeight="1">
      <c r="A2429" s="1" t="s">
        <v>2372</v>
      </c>
      <c r="B2429" s="2" t="str">
        <f>IFERROR(__xludf.DUMMYFUNCTION("GOOGLETRANSLATE(A2429, ""de"", ""uk"")"),"називати")</f>
        <v>називати</v>
      </c>
    </row>
    <row r="2430" ht="15.75" customHeight="1">
      <c r="A2430" s="1" t="s">
        <v>2373</v>
      </c>
      <c r="B2430" s="2" t="str">
        <f>IFERROR(__xludf.DUMMYFUNCTION("GOOGLETRANSLATE(A2430, ""de"", ""uk"")"),"передача")</f>
        <v>передача</v>
      </c>
    </row>
    <row r="2431" ht="15.75" customHeight="1">
      <c r="A2431" s="1" t="s">
        <v>2374</v>
      </c>
      <c r="B2431" s="2" t="str">
        <f>IFERROR(__xludf.DUMMYFUNCTION("GOOGLETRANSLATE(A2431, ""de"", ""uk"")"),"встановити")</f>
        <v>встановити</v>
      </c>
    </row>
    <row r="2432" ht="15.75" customHeight="1">
      <c r="A2432" s="1" t="s">
        <v>57</v>
      </c>
      <c r="B2432" s="2" t="str">
        <f>IFERROR(__xludf.DUMMYFUNCTION("GOOGLETRANSLATE(A2432, ""de"", ""uk"")"),"поштовий індекс")</f>
        <v>поштовий індекс</v>
      </c>
    </row>
    <row r="2433" ht="15.75" customHeight="1">
      <c r="A2433" s="1" t="s">
        <v>2375</v>
      </c>
      <c r="B2433" s="2" t="str">
        <f>IFERROR(__xludf.DUMMYFUNCTION("GOOGLETRANSLATE(A2433, ""de"", ""uk"")"),"карту")</f>
        <v>карту</v>
      </c>
    </row>
    <row r="2434" ht="15.75" customHeight="1">
      <c r="A2434" s="1" t="s">
        <v>2376</v>
      </c>
      <c r="B2434" s="2" t="str">
        <f>IFERROR(__xludf.DUMMYFUNCTION("GOOGLETRANSLATE(A2434, ""de"", ""uk"")"),"факс")</f>
        <v>факс</v>
      </c>
    </row>
    <row r="2435" ht="15.75" customHeight="1">
      <c r="A2435" s="1" t="s">
        <v>2377</v>
      </c>
      <c r="B2435" s="2" t="str">
        <f>IFERROR(__xludf.DUMMYFUNCTION("GOOGLETRANSLATE(A2435, ""de"", ""uk"")"),"лист")</f>
        <v>лист</v>
      </c>
    </row>
    <row r="2436" ht="15.75" customHeight="1">
      <c r="A2436" s="1" t="s">
        <v>2378</v>
      </c>
      <c r="B2436" s="2" t="str">
        <f>IFERROR(__xludf.DUMMYFUNCTION("GOOGLETRANSLATE(A2436, ""de"", ""uk"")"),"штамп")</f>
        <v>штамп</v>
      </c>
    </row>
    <row r="2437" ht="15.75" customHeight="1">
      <c r="A2437" s="1" t="s">
        <v>2379</v>
      </c>
      <c r="B2437" s="2" t="str">
        <f>IFERROR(__xludf.DUMMYFUNCTION("GOOGLETRANSLATE(A2437, ""de"", ""uk"")"),"відправник")</f>
        <v>відправник</v>
      </c>
    </row>
    <row r="2438" ht="15.75" customHeight="1">
      <c r="A2438" s="1" t="s">
        <v>2380</v>
      </c>
      <c r="B2438" s="2" t="str">
        <f>IFERROR(__xludf.DUMMYFUNCTION("GOOGLETRANSLATE(A2438, ""de"", ""uk"")"),"одержувач")</f>
        <v>одержувач</v>
      </c>
    </row>
    <row r="2439" ht="15.75" customHeight="1">
      <c r="A2439" s="1" t="s">
        <v>2381</v>
      </c>
      <c r="B2439" s="2" t="str">
        <f>IFERROR(__xludf.DUMMYFUNCTION("GOOGLETRANSLATE(A2439, ""de"", ""uk"")"),"телефон")</f>
        <v>телефон</v>
      </c>
    </row>
    <row r="2440" ht="15.75" customHeight="1">
      <c r="A2440" s="1" t="s">
        <v>2382</v>
      </c>
      <c r="B2440" s="2" t="str">
        <f>IFERROR(__xludf.DUMMYFUNCTION("GOOGLETRANSLATE(A2440, ""de"", ""uk"")"),"телефон")</f>
        <v>телефон</v>
      </c>
    </row>
    <row r="2441" ht="15.75" customHeight="1">
      <c r="A2441" s="1" t="s">
        <v>2383</v>
      </c>
      <c r="B2441" s="2" t="str">
        <f>IFERROR(__xludf.DUMMYFUNCTION("GOOGLETRANSLATE(A2441, ""de"", ""uk"")"),"SMS")</f>
        <v>SMS</v>
      </c>
    </row>
    <row r="2442" ht="15.75" customHeight="1">
      <c r="A2442" s="1" t="s">
        <v>2384</v>
      </c>
      <c r="B2442" s="2" t="str">
        <f>IFERROR(__xludf.DUMMYFUNCTION("GOOGLETRANSLATE(A2442, ""de"", ""uk"")"),"телефонна книга")</f>
        <v>телефонна книга</v>
      </c>
    </row>
    <row r="2443" ht="15.75" customHeight="1">
      <c r="A2443" s="1" t="s">
        <v>2385</v>
      </c>
      <c r="B2443" s="2" t="str">
        <f>IFERROR(__xludf.DUMMYFUNCTION("GOOGLETRANSLATE(A2443, ""de"", ""uk"")"),"номер телефону")</f>
        <v>номер телефону</v>
      </c>
    </row>
    <row r="2444" ht="15.75" customHeight="1">
      <c r="A2444" s="1" t="s">
        <v>2386</v>
      </c>
      <c r="B2444" s="2" t="str">
        <f>IFERROR(__xludf.DUMMYFUNCTION("GOOGLETRANSLATE(A2444, ""de"", ""uk"")"),"Інтернет")</f>
        <v>Інтернет</v>
      </c>
    </row>
    <row r="2445" ht="15.75" customHeight="1">
      <c r="A2445" s="1" t="s">
        <v>2387</v>
      </c>
      <c r="B2445" s="2" t="str">
        <f>IFERROR(__xludf.DUMMYFUNCTION("GOOGLETRANSLATE(A2445, ""de"", ""uk"")"),"електронний лист")</f>
        <v>електронний лист</v>
      </c>
    </row>
    <row r="2446" ht="15.75" customHeight="1">
      <c r="A2446" s="1" t="s">
        <v>2388</v>
      </c>
      <c r="B2446" s="2" t="str">
        <f>IFERROR(__xludf.DUMMYFUNCTION("GOOGLETRANSLATE(A2446, ""de"", ""uk"")"),"комп'ютер")</f>
        <v>комп'ютер</v>
      </c>
    </row>
    <row r="2447" ht="15.75" customHeight="1">
      <c r="A2447" s="1" t="s">
        <v>2389</v>
      </c>
      <c r="B2447" s="2" t="str">
        <f>IFERROR(__xludf.DUMMYFUNCTION("GOOGLETRANSLATE(A2447, ""de"", ""uk"")"),"на екрані")</f>
        <v>на екрані</v>
      </c>
    </row>
    <row r="2448" ht="15.75" customHeight="1">
      <c r="A2448" s="1" t="s">
        <v>2390</v>
      </c>
      <c r="B2448" s="2" t="str">
        <f>IFERROR(__xludf.DUMMYFUNCTION("GOOGLETRANSLATE(A2448, ""de"", ""uk"")"),"миша")</f>
        <v>миша</v>
      </c>
    </row>
    <row r="2449" ht="15.75" customHeight="1">
      <c r="A2449" s="1" t="s">
        <v>2391</v>
      </c>
      <c r="B2449" s="2" t="str">
        <f>IFERROR(__xludf.DUMMYFUNCTION("GOOGLETRANSLATE(A2449, ""de"", ""uk"")"),"клавіатура")</f>
        <v>клавіатура</v>
      </c>
    </row>
    <row r="2450" ht="15.75" customHeight="1">
      <c r="A2450" s="1" t="s">
        <v>2392</v>
      </c>
      <c r="B2450" s="2" t="str">
        <f>IFERROR(__xludf.DUMMYFUNCTION("GOOGLETRANSLATE(A2450, ""de"", ""uk"")"),"принтера")</f>
        <v>принтера</v>
      </c>
    </row>
    <row r="2451" ht="15.75" customHeight="1">
      <c r="A2451" s="1" t="s">
        <v>2393</v>
      </c>
      <c r="B2451" s="2" t="str">
        <f>IFERROR(__xludf.DUMMYFUNCTION("GOOGLETRANSLATE(A2451, ""de"", ""uk"")"),"газета")</f>
        <v>газета</v>
      </c>
    </row>
    <row r="2452" ht="15.75" customHeight="1">
      <c r="A2452" s="1" t="s">
        <v>2394</v>
      </c>
      <c r="B2452" s="2" t="str">
        <f>IFERROR(__xludf.DUMMYFUNCTION("GOOGLETRANSLATE(A2452, ""de"", ""uk"")"),"журнал")</f>
        <v>журнал</v>
      </c>
    </row>
    <row r="2453" ht="15.75" customHeight="1">
      <c r="A2453" s="1" t="s">
        <v>2395</v>
      </c>
      <c r="B2453" s="2" t="str">
        <f>IFERROR(__xludf.DUMMYFUNCTION("GOOGLETRANSLATE(A2453, ""de"", ""uk"")"),"оголошення")</f>
        <v>оголошення</v>
      </c>
    </row>
    <row r="2454" ht="15.75" customHeight="1">
      <c r="A2454" s="1" t="s">
        <v>2396</v>
      </c>
      <c r="B2454" s="2" t="str">
        <f>IFERROR(__xludf.DUMMYFUNCTION("GOOGLETRANSLATE(A2454, ""de"", ""uk"")"),"компакт-диск")</f>
        <v>компакт-диск</v>
      </c>
    </row>
    <row r="2455" ht="15.75" customHeight="1">
      <c r="A2455" s="1" t="s">
        <v>2397</v>
      </c>
      <c r="B2455" s="2" t="str">
        <f>IFERROR(__xludf.DUMMYFUNCTION("GOOGLETRANSLATE(A2455, ""de"", ""uk"")"),"програвач компакт-дисків")</f>
        <v>програвач компакт-дисків</v>
      </c>
    </row>
    <row r="2456" ht="15.75" customHeight="1">
      <c r="A2456" s="1" t="s">
        <v>2398</v>
      </c>
      <c r="B2456" s="2" t="str">
        <f>IFERROR(__xludf.DUMMYFUNCTION("GOOGLETRANSLATE(A2456, ""de"", ""uk"")"),"радіо")</f>
        <v>радіо</v>
      </c>
    </row>
    <row r="2457" ht="15.75" customHeight="1">
      <c r="A2457" s="1" t="s">
        <v>2399</v>
      </c>
      <c r="B2457" s="2" t="str">
        <f>IFERROR(__xludf.DUMMYFUNCTION("GOOGLETRANSLATE(A2457, ""de"", ""uk"")"),"телевізор")</f>
        <v>телевізор</v>
      </c>
    </row>
    <row r="2458" ht="15.75" customHeight="1">
      <c r="A2458" s="1" t="s">
        <v>2400</v>
      </c>
      <c r="B2458" s="2" t="str">
        <f>IFERROR(__xludf.DUMMYFUNCTION("GOOGLETRANSLATE(A2458, ""de"", ""uk"")"),"коробка")</f>
        <v>коробка</v>
      </c>
    </row>
    <row r="2459" ht="15.75" customHeight="1">
      <c r="A2459" s="1" t="s">
        <v>2401</v>
      </c>
      <c r="B2459" s="2" t="str">
        <f>IFERROR(__xludf.DUMMYFUNCTION("GOOGLETRANSLATE(A2459, ""de"", ""uk"")"),"коробка")</f>
        <v>коробка</v>
      </c>
    </row>
    <row r="2460" ht="15.75" customHeight="1">
      <c r="A2460" s="1" t="s">
        <v>2386</v>
      </c>
      <c r="B2460" s="2" t="str">
        <f>IFERROR(__xludf.DUMMYFUNCTION("GOOGLETRANSLATE(A2460, ""de"", ""uk"")"),"Інтернет")</f>
        <v>Інтернет</v>
      </c>
    </row>
    <row r="2461" ht="15.75" customHeight="1">
      <c r="A2461" s="1" t="s">
        <v>2402</v>
      </c>
      <c r="B2461" s="2" t="str">
        <f>IFERROR(__xludf.DUMMYFUNCTION("GOOGLETRANSLATE(A2461, ""de"", ""uk"")"),"підключення до Інтернету")</f>
        <v>підключення до Інтернету</v>
      </c>
    </row>
    <row r="2462" ht="15.75" customHeight="1">
      <c r="A2462" s="1" t="s">
        <v>2403</v>
      </c>
      <c r="B2462" s="2" t="str">
        <f>IFERROR(__xludf.DUMMYFUNCTION("GOOGLETRANSLATE(A2462, ""de"", ""uk"")"),"код міста")</f>
        <v>код міста</v>
      </c>
    </row>
    <row r="2463" ht="15.75" customHeight="1">
      <c r="A2463" s="1" t="s">
        <v>2404</v>
      </c>
      <c r="B2463" s="2" t="str">
        <f>IFERROR(__xludf.DUMMYFUNCTION("GOOGLETRANSLATE(A2463, ""de"", ""uk"")"),"передача")</f>
        <v>передача</v>
      </c>
    </row>
    <row r="2464" ht="15.75" customHeight="1">
      <c r="A2464" s="1" t="s">
        <v>2405</v>
      </c>
      <c r="B2464" s="2" t="str">
        <f>IFERROR(__xludf.DUMMYFUNCTION("GOOGLETRANSLATE(A2464, ""de"", ""uk"")"),"автовідповідач")</f>
        <v>автовідповідач</v>
      </c>
    </row>
    <row r="2465" ht="15.75" customHeight="1">
      <c r="A2465" s="1" t="s">
        <v>2406</v>
      </c>
      <c r="B2465" s="2" t="str">
        <f>IFERROR(__xludf.DUMMYFUNCTION("GOOGLETRANSLATE(A2465, ""de"", ""uk"")"),"привітання")</f>
        <v>привітання</v>
      </c>
    </row>
    <row r="2466" ht="15.75" customHeight="1">
      <c r="A2466" s="1" t="s">
        <v>2407</v>
      </c>
      <c r="B2466" s="2" t="str">
        <f>IFERROR(__xludf.DUMMYFUNCTION("GOOGLETRANSLATE(A2466, ""de"", ""uk"")"),"дзвінок")</f>
        <v>дзвінок</v>
      </c>
    </row>
    <row r="2467" ht="15.75" customHeight="1">
      <c r="A2467" s="1" t="s">
        <v>2408</v>
      </c>
      <c r="B2467" s="2" t="str">
        <f>IFERROR(__xludf.DUMMYFUNCTION("GOOGLETRANSLATE(A2467, ""de"", ""uk"")"),"Офіс")</f>
        <v>Офіс</v>
      </c>
    </row>
    <row r="2468" ht="15.75" customHeight="1">
      <c r="A2468" s="1" t="s">
        <v>2409</v>
      </c>
      <c r="B2468" s="2" t="str">
        <f>IFERROR(__xludf.DUMMYFUNCTION("GOOGLETRANSLATE(A2468, ""de"", ""uk"")"),"монітора")</f>
        <v>монітора</v>
      </c>
    </row>
    <row r="2469" ht="15.75" customHeight="1">
      <c r="A2469" s="4" t="s">
        <v>2410</v>
      </c>
      <c r="B2469" s="2" t="str">
        <f>IFERROR(__xludf.DUMMYFUNCTION("GOOGLETRANSLATE(A2469, ""de"", ""uk"")"),"Завтра подзвоню мамі.")</f>
        <v>Завтра подзвоню мамі.</v>
      </c>
    </row>
    <row r="2470" ht="15.75" customHeight="1">
      <c r="A2470" s="4" t="s">
        <v>2411</v>
      </c>
      <c r="B2470" s="2" t="str">
        <f>IFERROR(__xludf.DUMMYFUNCTION("GOOGLETRANSLATE(A2470, ""de"", ""uk"")"),"Чи можете ви написати мені номер рахунку.")</f>
        <v>Чи можете ви написати мені номер рахунку.</v>
      </c>
    </row>
    <row r="2471" ht="15.75" customHeight="1">
      <c r="A2471" s="4" t="s">
        <v>2412</v>
      </c>
      <c r="B2471" s="2" t="str">
        <f>IFERROR(__xludf.DUMMYFUNCTION("GOOGLETRANSLATE(A2471, ""de"", ""uk"")"),"Ви повинні клацати мишкою.")</f>
        <v>Ви повинні клацати мишкою.</v>
      </c>
    </row>
    <row r="2472" ht="15.75" customHeight="1">
      <c r="A2472" s="4" t="s">
        <v>2413</v>
      </c>
      <c r="B2472" s="2" t="str">
        <f>IFERROR(__xludf.DUMMYFUNCTION("GOOGLETRANSLATE(A2472, ""de"", ""uk"")"),"Діти завжди хочуть дивитися телевізор.")</f>
        <v>Діти завжди хочуть дивитися телевізор.</v>
      </c>
    </row>
    <row r="2473" ht="15.75" customHeight="1">
      <c r="A2473" s="4" t="s">
        <v>2414</v>
      </c>
      <c r="B2473" s="2" t="str">
        <f>IFERROR(__xludf.DUMMYFUNCTION("GOOGLETRANSLATE(A2473, ""de"", ""uk"")"),"Ви можете зателефонувати мені завтра?")</f>
        <v>Ви можете зателефонувати мені завтра?</v>
      </c>
    </row>
    <row r="2474" ht="15.75" customHeight="1">
      <c r="A2474" s="4" t="s">
        <v>2415</v>
      </c>
      <c r="B2474" s="2" t="str">
        <f>IFERROR(__xludf.DUMMYFUNCTION("GOOGLETRANSLATE(A2474, ""de"", ""uk"")"),"На жаль, я до неї не дійшов.")</f>
        <v>На жаль, я до неї не дійшов.</v>
      </c>
    </row>
    <row r="2475" ht="15.75" customHeight="1">
      <c r="A2475" s="4" t="s">
        <v>2416</v>
      </c>
      <c r="B2475" s="2" t="str">
        <f>IFERROR(__xludf.DUMMYFUNCTION("GOOGLETRANSLATE(A2475, ""de"", ""uk"")"),"За допомогою цього мобільного телефону я можу дзвонити по всьому світу дуже дешево.")</f>
        <v>За допомогою цього мобільного телефону я можу дзвонити по всьому світу дуже дешево.</v>
      </c>
    </row>
    <row r="2476" ht="15.75" customHeight="1">
      <c r="A2476" s="4" t="s">
        <v>2417</v>
      </c>
      <c r="B2476" s="2" t="str">
        <f>IFERROR(__xludf.DUMMYFUNCTION("GOOGLETRANSLATE(A2476, ""de"", ""uk"")"),"Треба домовитися про ціну автомобіля.")</f>
        <v>Треба домовитися про ціну автомобіля.</v>
      </c>
    </row>
    <row r="2477" ht="15.75" customHeight="1">
      <c r="A2477" s="4" t="s">
        <v>2418</v>
      </c>
      <c r="B2477" s="2" t="str">
        <f>IFERROR(__xludf.DUMMYFUNCTION("GOOGLETRANSLATE(A2477, ""de"", ""uk"")"),"Роздрукую вам текст.")</f>
        <v>Роздрукую вам текст.</v>
      </c>
    </row>
    <row r="2478" ht="15.75" customHeight="1">
      <c r="A2478" s="4" t="s">
        <v>2419</v>
      </c>
      <c r="B2478" s="2" t="str">
        <f>IFERROR(__xludf.DUMMYFUNCTION("GOOGLETRANSLATE(A2478, ""de"", ""uk"")"),"Будь ласка, скажіть мені своє ім'я.")</f>
        <v>Будь ласка, скажіть мені своє ім'я.</v>
      </c>
    </row>
    <row r="2479" ht="15.75" customHeight="1">
      <c r="A2479" s="4" t="s">
        <v>2420</v>
      </c>
      <c r="B2479" s="2" t="str">
        <f>IFERROR(__xludf.DUMMYFUNCTION("GOOGLETRANSLATE(A2479, ""de"", ""uk"")"),"Ми повинні платити орендну плату нашому орендодавцю щомісяця.")</f>
        <v>Ми повинні платити орендну плату нашому орендодавцю щомісяця.</v>
      </c>
    </row>
    <row r="2480" ht="15.75" customHeight="1">
      <c r="A2480" s="4" t="s">
        <v>2421</v>
      </c>
      <c r="B2480" s="2" t="str">
        <f>IFERROR(__xludf.DUMMYFUNCTION("GOOGLETRANSLATE(A2480, ""de"", ""uk"")"),"Чи можна встановити Windows на мій комп’ютер?")</f>
        <v>Чи можна встановити Windows на мій комп’ютер?</v>
      </c>
    </row>
    <row r="2481" ht="15.75" customHeight="1">
      <c r="A2481" s="4" t="s">
        <v>2422</v>
      </c>
      <c r="B2481" s="2" t="str">
        <f>IFERROR(__xludf.DUMMYFUNCTION("GOOGLETRANSLATE(A2481, ""de"", ""uk"")"),"Будь ласка, скажіть мені свій поштовий індекс.")</f>
        <v>Будь ласка, скажіть мені свій поштовий індекс.</v>
      </c>
    </row>
    <row r="2482" ht="15.75" customHeight="1">
      <c r="A2482" s="4" t="s">
        <v>2423</v>
      </c>
      <c r="B2482" s="2" t="str">
        <f>IFERROR(__xludf.DUMMYFUNCTION("GOOGLETRANSLATE(A2482, ""de"", ""uk"")"),"Я надіслав мамі чудову листівку.")</f>
        <v>Я надіслав мамі чудову листівку.</v>
      </c>
    </row>
    <row r="2483" ht="15.75" customHeight="1">
      <c r="A2483" s="4" t="s">
        <v>2424</v>
      </c>
      <c r="B2483" s="2" t="str">
        <f>IFERROR(__xludf.DUMMYFUNCTION("GOOGLETRANSLATE(A2483, ""de"", ""uk"")"),"Ми можемо надіслати банку факс.")</f>
        <v>Ми можемо надіслати банку факс.</v>
      </c>
    </row>
    <row r="2484" ht="15.75" customHeight="1">
      <c r="A2484" s="4" t="s">
        <v>2425</v>
      </c>
      <c r="B2484" s="2" t="str">
        <f>IFERROR(__xludf.DUMMYFUNCTION("GOOGLETRANSLATE(A2484, ""de"", ""uk"")"),"Ми повинні написати листа в офіс.")</f>
        <v>Ми повинні написати листа в офіс.</v>
      </c>
    </row>
    <row r="2485" ht="15.75" customHeight="1">
      <c r="A2485" s="4" t="s">
        <v>2426</v>
      </c>
      <c r="B2485" s="2" t="str">
        <f>IFERROR(__xludf.DUMMYFUNCTION("GOOGLETRANSLATE(A2485, ""de"", ""uk"")"),"У вас є марка для листа?")</f>
        <v>У вас є марка для листа?</v>
      </c>
    </row>
    <row r="2486" ht="15.75" customHeight="1">
      <c r="A2486" s="4" t="s">
        <v>2427</v>
      </c>
      <c r="B2486" s="2" t="str">
        <f>IFERROR(__xludf.DUMMYFUNCTION("GOOGLETRANSLATE(A2486, ""de"", ""uk"")"),"На листі потрібно написати відправника.")</f>
        <v>На листі потрібно написати відправника.</v>
      </c>
    </row>
    <row r="2487" ht="15.75" customHeight="1">
      <c r="A2487" s="4" t="s">
        <v>2428</v>
      </c>
      <c r="B2487" s="2" t="str">
        <f>IFERROR(__xludf.DUMMYFUNCTION("GOOGLETRANSLATE(A2487, ""de"", ""uk"")"),"Тепер я забув одержувача.")</f>
        <v>Тепер я забув одержувача.</v>
      </c>
    </row>
    <row r="2488" ht="15.75" customHeight="1">
      <c r="A2488" s="4" t="s">
        <v>2429</v>
      </c>
      <c r="B2488" s="2" t="str">
        <f>IFERROR(__xludf.DUMMYFUNCTION("GOOGLETRANSLATE(A2488, ""de"", ""uk"")"),"Ви можете відповісти на телефонний дзвінок?")</f>
        <v>Ви можете відповісти на телефонний дзвінок?</v>
      </c>
    </row>
    <row r="2489" ht="15.75" customHeight="1">
      <c r="A2489" s="4" t="s">
        <v>2430</v>
      </c>
      <c r="B2489" s="2" t="str">
        <f>IFERROR(__xludf.DUMMYFUNCTION("GOOGLETRANSLATE(A2489, ""de"", ""uk"")"),"У вас багато контактів на мобільному телефоні.")</f>
        <v>У вас багато контактів на мобільному телефоні.</v>
      </c>
    </row>
    <row r="2490" ht="15.75" customHeight="1">
      <c r="A2490" s="4" t="s">
        <v>2431</v>
      </c>
      <c r="B2490" s="2" t="str">
        <f>IFERROR(__xludf.DUMMYFUNCTION("GOOGLETRANSLATE(A2490, ""de"", ""uk"")"),"Я надішлю тобі швидке текстове повідомлення.")</f>
        <v>Я надішлю тобі швидке текстове повідомлення.</v>
      </c>
    </row>
    <row r="2491" ht="15.75" customHeight="1">
      <c r="A2491" s="4" t="s">
        <v>2432</v>
      </c>
      <c r="B2491" s="2" t="str">
        <f>IFERROR(__xludf.DUMMYFUNCTION("GOOGLETRANSLATE(A2491, ""de"", ""uk"")"),"Його номер можна знайти в телефонній книзі.")</f>
        <v>Його номер можна знайти в телефонній книзі.</v>
      </c>
    </row>
    <row r="2492" ht="15.75" customHeight="1">
      <c r="A2492" s="4" t="s">
        <v>2433</v>
      </c>
      <c r="B2492" s="2" t="str">
        <f>IFERROR(__xludf.DUMMYFUNCTION("GOOGLETRANSLATE(A2492, ""de"", ""uk"")"),"Ви знаєте номер телефону офісу?")</f>
        <v>Ви знаєте номер телефону офісу?</v>
      </c>
    </row>
    <row r="2493" ht="15.75" customHeight="1">
      <c r="A2493" s="4" t="s">
        <v>2434</v>
      </c>
      <c r="B2493" s="2" t="str">
        <f>IFERROR(__xludf.DUMMYFUNCTION("GOOGLETRANSLATE(A2493, ""de"", ""uk"")"),"Заходжу в Інтернет.")</f>
        <v>Заходжу в Інтернет.</v>
      </c>
    </row>
    <row r="2494" ht="15.75" customHeight="1">
      <c r="A2494" s="4" t="s">
        <v>2435</v>
      </c>
      <c r="B2494" s="2" t="str">
        <f>IFERROR(__xludf.DUMMYFUNCTION("GOOGLETRANSLATE(A2494, ""de"", ""uk"")"),"Я не отримав відповіді на свій електронний лист.")</f>
        <v>Я не отримав відповіді на свій електронний лист.</v>
      </c>
    </row>
    <row r="2495" ht="15.75" customHeight="1">
      <c r="A2495" s="4" t="s">
        <v>2436</v>
      </c>
      <c r="B2495" s="2" t="str">
        <f>IFERROR(__xludf.DUMMYFUNCTION("GOOGLETRANSLATE(A2495, ""de"", ""uk"")"),"На жаль, комп'ютер зламався.")</f>
        <v>На жаль, комп'ютер зламався.</v>
      </c>
    </row>
    <row r="2496" ht="15.75" customHeight="1">
      <c r="A2496" s="4" t="s">
        <v>2437</v>
      </c>
      <c r="B2496" s="2" t="str">
        <f>IFERROR(__xludf.DUMMYFUNCTION("GOOGLETRANSLATE(A2496, ""de"", ""uk"")"),"Екран знову працює.")</f>
        <v>Екран знову працює.</v>
      </c>
    </row>
    <row r="2497" ht="15.75" customHeight="1">
      <c r="A2497" s="4" t="s">
        <v>2438</v>
      </c>
      <c r="B2497" s="2" t="str">
        <f>IFERROR(__xludf.DUMMYFUNCTION("GOOGLETRANSLATE(A2497, ""de"", ""uk"")"),"У мене немає мишки для комп'ютера.")</f>
        <v>У мене немає мишки для комп'ютера.</v>
      </c>
    </row>
    <row r="2498" ht="15.75" customHeight="1">
      <c r="A2498" s="4" t="s">
        <v>2439</v>
      </c>
      <c r="B2498" s="2" t="str">
        <f>IFERROR(__xludf.DUMMYFUNCTION("GOOGLETRANSLATE(A2498, ""de"", ""uk"")"),"Моя мама багато пише десятьма пальцями на клавіатурі.")</f>
        <v>Моя мама багато пише десятьма пальцями на клавіатурі.</v>
      </c>
    </row>
    <row r="2499" ht="15.75" customHeight="1">
      <c r="A2499" s="4" t="s">
        <v>2440</v>
      </c>
      <c r="B2499" s="2" t="str">
        <f>IFERROR(__xludf.DUMMYFUNCTION("GOOGLETRANSLATE(A2499, ""de"", ""uk"")"),"Чи працює принтер?")</f>
        <v>Чи працює принтер?</v>
      </c>
    </row>
    <row r="2500" ht="15.75" customHeight="1">
      <c r="A2500" s="4" t="s">
        <v>2441</v>
      </c>
      <c r="B2500" s="2" t="str">
        <f>IFERROR(__xludf.DUMMYFUNCTION("GOOGLETRANSLATE(A2500, ""de"", ""uk"")"),"Мій друг купує газету в кіоску.")</f>
        <v>Мій друг купує газету в кіоску.</v>
      </c>
    </row>
    <row r="2501" ht="15.75" customHeight="1">
      <c r="A2501" s="4" t="s">
        <v>2442</v>
      </c>
      <c r="B2501" s="2" t="str">
        <f>IFERROR(__xludf.DUMMYFUNCTION("GOOGLETRANSLATE(A2501, ""de"", ""uk"")"),"Я віддаю перевагу читанню журналу.")</f>
        <v>Я віддаю перевагу читанню журналу.</v>
      </c>
    </row>
    <row r="2502" ht="15.75" customHeight="1">
      <c r="A2502" s="4" t="s">
        <v>2443</v>
      </c>
      <c r="B2502" s="2" t="str">
        <f>IFERROR(__xludf.DUMMYFUNCTION("GOOGLETRANSLATE(A2502, ""de"", ""uk"")"),"В газеті є оголошення про квартиру.")</f>
        <v>В газеті є оголошення про квартиру.</v>
      </c>
    </row>
    <row r="2503" ht="15.75" customHeight="1">
      <c r="A2503" s="4" t="s">
        <v>2444</v>
      </c>
      <c r="B2503" s="2" t="str">
        <f>IFERROR(__xludf.DUMMYFUNCTION("GOOGLETRANSLATE(A2503, ""de"", ""uk"")"),"Ми більше не використовуємо компакт-диски.")</f>
        <v>Ми більше не використовуємо компакт-диски.</v>
      </c>
    </row>
    <row r="2504" ht="15.75" customHeight="1">
      <c r="A2504" s="4" t="s">
        <v>2445</v>
      </c>
      <c r="B2504" s="2" t="str">
        <f>IFERROR(__xludf.DUMMYFUNCTION("GOOGLETRANSLATE(A2504, ""de"", ""uk"")"),"CD плеєр вже старий.")</f>
        <v>CD плеєр вже старий.</v>
      </c>
    </row>
    <row r="2505" ht="15.75" customHeight="1">
      <c r="A2505" s="4" t="s">
        <v>2446</v>
      </c>
      <c r="B2505" s="2" t="str">
        <f>IFERROR(__xludf.DUMMYFUNCTION("GOOGLETRANSLATE(A2505, ""de"", ""uk"")"),"Під час прибирання слухаю радіо.")</f>
        <v>Під час прибирання слухаю радіо.</v>
      </c>
    </row>
    <row r="2506" ht="15.75" customHeight="1">
      <c r="A2506" s="4" t="s">
        <v>2447</v>
      </c>
      <c r="B2506" s="2" t="str">
        <f>IFERROR(__xludf.DUMMYFUNCTION("GOOGLETRANSLATE(A2506, ""de"", ""uk"")"),"Нам потрібен новий телевізор.")</f>
        <v>Нам потрібен новий телевізор.</v>
      </c>
    </row>
    <row r="2507" ht="15.75" customHeight="1">
      <c r="A2507" s="4" t="s">
        <v>2448</v>
      </c>
      <c r="B2507" s="2" t="str">
        <f>IFERROR(__xludf.DUMMYFUNCTION("GOOGLETRANSLATE(A2507, ""de"", ""uk"")"),"Батько відкриває скриньку.")</f>
        <v>Батько відкриває скриньку.</v>
      </c>
    </row>
    <row r="2508" ht="15.75" customHeight="1">
      <c r="A2508" s="4" t="s">
        <v>2449</v>
      </c>
      <c r="B2508" s="2" t="str">
        <f>IFERROR(__xludf.DUMMYFUNCTION("GOOGLETRANSLATE(A2508, ""de"", ""uk"")"),"В коробці тільки старі диски")</f>
        <v>В коробці тільки старі диски</v>
      </c>
    </row>
    <row r="2509" ht="15.75" customHeight="1">
      <c r="A2509" s="4" t="s">
        <v>2450</v>
      </c>
      <c r="B2509" s="2" t="str">
        <f>IFERROR(__xludf.DUMMYFUNCTION("GOOGLETRANSLATE(A2509, ""de"", ""uk"")"),"Без інтернету нудно.")</f>
        <v>Без інтернету нудно.</v>
      </c>
    </row>
    <row r="2510" ht="15.75" customHeight="1">
      <c r="A2510" s="4" t="s">
        <v>2451</v>
      </c>
      <c r="B2510" s="2" t="str">
        <f>IFERROR(__xludf.DUMMYFUNCTION("GOOGLETRANSLATE(A2510, ""de"", ""uk"")"),"У нашій новій квартирі ще немає підключення до Інтернету.")</f>
        <v>У нашій новій квартирі ще немає підключення до Інтернету.</v>
      </c>
    </row>
    <row r="2511" ht="15.75" customHeight="1">
      <c r="A2511" s="4" t="s">
        <v>2452</v>
      </c>
      <c r="B2511" s="2" t="str">
        <f>IFERROR(__xludf.DUMMYFUNCTION("GOOGLETRANSLATE(A2511, ""de"", ""uk"")"),"Ви повинні набрати код міста.")</f>
        <v>Ви повинні набрати код міста.</v>
      </c>
    </row>
    <row r="2512" ht="15.75" customHeight="1">
      <c r="A2512" s="4" t="s">
        <v>2453</v>
      </c>
      <c r="B2512" s="2" t="str">
        <f>IFERROR(__xludf.DUMMYFUNCTION("GOOGLETRANSLATE(A2512, ""de"", ""uk"")"),"Ви зробили передачу вчора?")</f>
        <v>Ви зробили передачу вчора?</v>
      </c>
    </row>
    <row r="2513" ht="15.75" customHeight="1">
      <c r="A2513" s="4" t="s">
        <v>2454</v>
      </c>
      <c r="B2513" s="2" t="str">
        <f>IFERROR(__xludf.DUMMYFUNCTION("GOOGLETRANSLATE(A2513, ""de"", ""uk"")"),"Я залишив його автовідповідач.")</f>
        <v>Я залишив його автовідповідач.</v>
      </c>
    </row>
    <row r="2514" ht="15.75" customHeight="1">
      <c r="A2514" s="4" t="s">
        <v>2455</v>
      </c>
      <c r="B2514" s="2" t="str">
        <f>IFERROR(__xludf.DUMMYFUNCTION("GOOGLETRANSLATE(A2514, ""de"", ""uk"")"),"Передай йому від мене привіт.")</f>
        <v>Передай йому від мене привіт.</v>
      </c>
    </row>
    <row r="2515" ht="15.75" customHeight="1">
      <c r="A2515" s="4" t="s">
        <v>2456</v>
      </c>
      <c r="B2515" s="2" t="str">
        <f>IFERROR(__xludf.DUMMYFUNCTION("GOOGLETRANSLATE(A2515, ""de"", ""uk"")"),"Ви отримали його дзвінок?")</f>
        <v>Ви отримали його дзвінок?</v>
      </c>
    </row>
    <row r="2516" ht="15.75" customHeight="1">
      <c r="A2516" s="4" t="s">
        <v>2457</v>
      </c>
      <c r="B2516" s="2" t="str">
        <f>IFERROR(__xludf.DUMMYFUNCTION("GOOGLETRANSLATE(A2516, ""de"", ""uk"")"),"Мені потрібно повернутися в офіс.")</f>
        <v>Мені потрібно повернутися в офіс.</v>
      </c>
    </row>
    <row r="2517" ht="15.75" customHeight="1">
      <c r="A2517" s="4" t="s">
        <v>2458</v>
      </c>
      <c r="B2517" s="2" t="str">
        <f>IFERROR(__xludf.DUMMYFUNCTION("GOOGLETRANSLATE(A2517, ""de"", ""uk"")"),"Що там на моніторі?")</f>
        <v>Що там на моніторі?</v>
      </c>
    </row>
    <row r="2518" ht="15.75" customHeight="1">
      <c r="A2518" s="1" t="s">
        <v>2459</v>
      </c>
      <c r="B2518" s="2" t="str">
        <f>IFERROR(__xludf.DUMMYFUNCTION("GOOGLETRANSLATE(A2518, ""de"", ""uk"")"),"спорт")</f>
        <v>спорт</v>
      </c>
    </row>
    <row r="2519" ht="15.75" customHeight="1">
      <c r="A2519" s="1" t="s">
        <v>2460</v>
      </c>
      <c r="B2519" s="2" t="str">
        <f>IFERROR(__xludf.DUMMYFUNCTION("GOOGLETRANSLATE(A2519, ""de"", ""uk"")"),"баскетбол")</f>
        <v>баскетбол</v>
      </c>
    </row>
    <row r="2520" ht="15.75" customHeight="1">
      <c r="A2520" s="1" t="s">
        <v>2461</v>
      </c>
      <c r="B2520" s="2" t="str">
        <f>IFERROR(__xludf.DUMMYFUNCTION("GOOGLETRANSLATE(A2520, ""de"", ""uk"")"),"футбол")</f>
        <v>футбол</v>
      </c>
    </row>
    <row r="2521" ht="15.75" customHeight="1">
      <c r="A2521" s="1" t="s">
        <v>2462</v>
      </c>
      <c r="B2521" s="2" t="str">
        <f>IFERROR(__xludf.DUMMYFUNCTION("GOOGLETRANSLATE(A2521, ""de"", ""uk"")"),"біг підтюпцем")</f>
        <v>біг підтюпцем</v>
      </c>
    </row>
    <row r="2522" ht="15.75" customHeight="1">
      <c r="A2522" s="1" t="s">
        <v>2463</v>
      </c>
      <c r="B2522" s="2" t="str">
        <f>IFERROR(__xludf.DUMMYFUNCTION("GOOGLETRANSLATE(A2522, ""de"", ""uk"")"),"Гандбол")</f>
        <v>Гандбол</v>
      </c>
    </row>
    <row r="2523" ht="15.75" customHeight="1">
      <c r="A2523" s="1" t="s">
        <v>2464</v>
      </c>
      <c r="B2523" s="2" t="str">
        <f>IFERROR(__xludf.DUMMYFUNCTION("GOOGLETRANSLATE(A2523, ""de"", ""uk"")"),"теніс")</f>
        <v>теніс</v>
      </c>
    </row>
    <row r="2524" ht="15.75" customHeight="1">
      <c r="A2524" s="1" t="s">
        <v>2465</v>
      </c>
      <c r="B2524" s="2" t="str">
        <f>IFERROR(__xludf.DUMMYFUNCTION("GOOGLETRANSLATE(A2524, ""de"", ""uk"")"),"Настільний теніс")</f>
        <v>Настільний теніс</v>
      </c>
    </row>
    <row r="2525" ht="15.75" customHeight="1">
      <c r="A2525" s="1" t="s">
        <v>2466</v>
      </c>
      <c r="B2525" s="2" t="str">
        <f>IFERROR(__xludf.DUMMYFUNCTION("GOOGLETRANSLATE(A2525, ""de"", ""uk"")"),"волейбол")</f>
        <v>волейбол</v>
      </c>
    </row>
    <row r="2526" ht="15.75" customHeight="1">
      <c r="A2526" s="1" t="s">
        <v>2467</v>
      </c>
      <c r="B2526" s="2" t="str">
        <f>IFERROR(__xludf.DUMMYFUNCTION("GOOGLETRANSLATE(A2526, ""de"", ""uk"")"),"м'яч")</f>
        <v>м'яч</v>
      </c>
    </row>
    <row r="2527" ht="15.75" customHeight="1">
      <c r="A2527" s="1" t="s">
        <v>1082</v>
      </c>
      <c r="B2527" s="2" t="str">
        <f>IFERROR(__xludf.DUMMYFUNCTION("GOOGLETRANSLATE(A2527, ""de"", ""uk"")"),"прогулянка")</f>
        <v>прогулянка</v>
      </c>
    </row>
    <row r="2528" ht="15.75" customHeight="1">
      <c r="A2528" s="1" t="s">
        <v>2468</v>
      </c>
      <c r="B2528" s="2" t="str">
        <f>IFERROR(__xludf.DUMMYFUNCTION("GOOGLETRANSLATE(A2528, ""de"", ""uk"")"),"басейн")</f>
        <v>басейн</v>
      </c>
    </row>
    <row r="2529" ht="15.75" customHeight="1">
      <c r="A2529" s="1" t="s">
        <v>2469</v>
      </c>
      <c r="B2529" s="2" t="str">
        <f>IFERROR(__xludf.DUMMYFUNCTION("GOOGLETRANSLATE(A2529, ""de"", ""uk"")"),"спортивний зал")</f>
        <v>спортивний зал</v>
      </c>
    </row>
    <row r="2530" ht="15.75" customHeight="1">
      <c r="A2530" s="1" t="s">
        <v>2470</v>
      </c>
      <c r="B2530" s="2" t="str">
        <f>IFERROR(__xludf.DUMMYFUNCTION("GOOGLETRANSLATE(A2530, ""de"", ""uk"")"),"спортивний майданчик")</f>
        <v>спортивний майданчик</v>
      </c>
    </row>
    <row r="2531" ht="15.75" customHeight="1">
      <c r="A2531" s="1" t="s">
        <v>2471</v>
      </c>
      <c r="B2531" s="2" t="str">
        <f>IFERROR(__xludf.DUMMYFUNCTION("GOOGLETRANSLATE(A2531, ""de"", ""uk"")"),"кінотеатр")</f>
        <v>кінотеатр</v>
      </c>
    </row>
    <row r="2532" ht="15.75" customHeight="1">
      <c r="A2532" s="1" t="s">
        <v>2472</v>
      </c>
      <c r="B2532" s="2" t="str">
        <f>IFERROR(__xludf.DUMMYFUNCTION("GOOGLETRANSLATE(A2532, ""de"", ""uk"")"),"музей")</f>
        <v>музей</v>
      </c>
    </row>
    <row r="2533" ht="15.75" customHeight="1">
      <c r="A2533" s="1" t="s">
        <v>2473</v>
      </c>
      <c r="B2533" s="2" t="str">
        <f>IFERROR(__xludf.DUMMYFUNCTION("GOOGLETRANSLATE(A2533, ""de"", ""uk"")"),"театр")</f>
        <v>театр</v>
      </c>
    </row>
    <row r="2534" ht="15.75" customHeight="1">
      <c r="A2534" s="1" t="s">
        <v>2474</v>
      </c>
      <c r="B2534" s="2" t="str">
        <f>IFERROR(__xludf.DUMMYFUNCTION("GOOGLETRANSLATE(A2534, ""de"", ""uk"")"),"повсякденний")</f>
        <v>повсякденний</v>
      </c>
    </row>
    <row r="2535" ht="15.75" customHeight="1">
      <c r="A2535" s="1" t="s">
        <v>2475</v>
      </c>
      <c r="B2535" s="2" t="str">
        <f>IFERROR(__xludf.DUMMYFUNCTION("GOOGLETRANSLATE(A2535, ""de"", ""uk"")"),"ритм")</f>
        <v>ритм</v>
      </c>
    </row>
    <row r="2536" ht="15.75" customHeight="1">
      <c r="A2536" s="1" t="s">
        <v>2476</v>
      </c>
      <c r="B2536" s="2" t="str">
        <f>IFERROR(__xludf.DUMMYFUNCTION("GOOGLETRANSLATE(A2536, ""de"", ""uk"")"),"дитячий майданчик")</f>
        <v>дитячий майданчик</v>
      </c>
    </row>
    <row r="2537" ht="15.75" customHeight="1">
      <c r="A2537" s="1" t="s">
        <v>2477</v>
      </c>
      <c r="B2537" s="2" t="str">
        <f>IFERROR(__xludf.DUMMYFUNCTION("GOOGLETRANSLATE(A2537, ""de"", ""uk"")"),"Союзу")</f>
        <v>Союзу</v>
      </c>
    </row>
    <row r="2538" ht="15.75" customHeight="1">
      <c r="A2538" s="1" t="s">
        <v>2478</v>
      </c>
      <c r="B2538" s="2" t="str">
        <f>IFERROR(__xludf.DUMMYFUNCTION("GOOGLETRANSLATE(A2538, ""de"", ""uk"")"),"камера")</f>
        <v>камера</v>
      </c>
    </row>
    <row r="2539" ht="15.75" customHeight="1">
      <c r="A2539" s="1" t="s">
        <v>2479</v>
      </c>
      <c r="B2539" s="2" t="str">
        <f>IFERROR(__xludf.DUMMYFUNCTION("GOOGLETRANSLATE(A2539, ""de"", ""uk"")"),"музика")</f>
        <v>музика</v>
      </c>
    </row>
    <row r="2540" ht="15.75" customHeight="1">
      <c r="A2540" s="1" t="s">
        <v>2480</v>
      </c>
      <c r="B2540" s="2" t="str">
        <f>IFERROR(__xludf.DUMMYFUNCTION("GOOGLETRANSLATE(A2540, ""de"", ""uk"")"),"діяльність")</f>
        <v>діяльність</v>
      </c>
    </row>
    <row r="2541" ht="15.75" customHeight="1">
      <c r="A2541" s="1" t="s">
        <v>2481</v>
      </c>
      <c r="B2541" s="2" t="str">
        <f>IFERROR(__xludf.DUMMYFUNCTION("GOOGLETRANSLATE(A2541, ""de"", ""uk"")"),"бібліотека")</f>
        <v>бібліотека</v>
      </c>
    </row>
    <row r="2542" ht="15.75" customHeight="1">
      <c r="A2542" s="1" t="s">
        <v>2482</v>
      </c>
      <c r="B2542" s="2" t="str">
        <f>IFERROR(__xludf.DUMMYFUNCTION("GOOGLETRANSLATE(A2542, ""de"", ""uk"")"),"пивний сад")</f>
        <v>пивний сад</v>
      </c>
    </row>
    <row r="2543" ht="15.75" customHeight="1">
      <c r="A2543" s="1" t="s">
        <v>2483</v>
      </c>
      <c r="B2543" s="2" t="str">
        <f>IFERROR(__xludf.DUMMYFUNCTION("GOOGLETRANSLATE(A2543, ""de"", ""uk"")"),"запис")</f>
        <v>запис</v>
      </c>
    </row>
    <row r="2544" ht="15.75" customHeight="1">
      <c r="A2544" s="1" t="s">
        <v>2484</v>
      </c>
      <c r="B2544" s="2" t="str">
        <f>IFERROR(__xludf.DUMMYFUNCTION("GOOGLETRANSLATE(A2544, ""de"", ""uk"")"),"концерт")</f>
        <v>концерт</v>
      </c>
    </row>
    <row r="2545" ht="15.75" customHeight="1">
      <c r="A2545" s="1" t="s">
        <v>2485</v>
      </c>
      <c r="B2545" s="2" t="str">
        <f>IFERROR(__xludf.DUMMYFUNCTION("GOOGLETRANSLATE(A2545, ""de"", ""uk"")"),"кримінальний трилер")</f>
        <v>кримінальний трилер</v>
      </c>
    </row>
    <row r="2546" ht="15.75" customHeight="1">
      <c r="A2546" s="1" t="s">
        <v>2486</v>
      </c>
      <c r="B2546" s="2" t="str">
        <f>IFERROR(__xludf.DUMMYFUNCTION("GOOGLETRANSLATE(A2546, ""de"", ""uk"")"),"бундестагу")</f>
        <v>бундестагу</v>
      </c>
    </row>
    <row r="2547" ht="15.75" customHeight="1">
      <c r="A2547" s="1" t="s">
        <v>2487</v>
      </c>
      <c r="B2547" s="2" t="str">
        <f>IFERROR(__xludf.DUMMYFUNCTION("GOOGLETRANSLATE(A2547, ""de"", ""uk"")"),"дискотека")</f>
        <v>дискотека</v>
      </c>
    </row>
    <row r="2548" ht="15.75" customHeight="1">
      <c r="A2548" s="1" t="s">
        <v>2488</v>
      </c>
      <c r="B2548" s="2" t="str">
        <f>IFERROR(__xludf.DUMMYFUNCTION("GOOGLETRANSLATE(A2548, ""de"", ""uk"")"),"пікнік")</f>
        <v>пікнік</v>
      </c>
    </row>
    <row r="2549" ht="15.75" customHeight="1">
      <c r="A2549" s="1" t="s">
        <v>2489</v>
      </c>
      <c r="B2549" s="2" t="str">
        <f>IFERROR(__xludf.DUMMYFUNCTION("GOOGLETRANSLATE(A2549, ""de"", ""uk"")"),"культура")</f>
        <v>культура</v>
      </c>
    </row>
    <row r="2550" ht="15.75" customHeight="1">
      <c r="A2550" s="1" t="s">
        <v>2490</v>
      </c>
      <c r="B2550" s="2" t="str">
        <f>IFERROR(__xludf.DUMMYFUNCTION("GOOGLETRANSLATE(A2550, ""de"", ""uk"")"),"можливість")</f>
        <v>можливість</v>
      </c>
    </row>
    <row r="2551" ht="15.75" customHeight="1">
      <c r="A2551" s="1" t="s">
        <v>2491</v>
      </c>
      <c r="B2551" s="2" t="str">
        <f>IFERROR(__xludf.DUMMYFUNCTION("GOOGLETRANSLATE(A2551, ""de"", ""uk"")"),"програма")</f>
        <v>програма</v>
      </c>
    </row>
    <row r="2552" ht="15.75" customHeight="1">
      <c r="A2552" s="1" t="s">
        <v>2492</v>
      </c>
      <c r="B2552" s="2" t="str">
        <f>IFERROR(__xludf.DUMMYFUNCTION("GOOGLETRANSLATE(A2552, ""de"", ""uk"")"),"видовище")</f>
        <v>видовище</v>
      </c>
    </row>
    <row r="2553" ht="15.75" customHeight="1">
      <c r="A2553" s="1" t="s">
        <v>2493</v>
      </c>
      <c r="B2553" s="2" t="str">
        <f>IFERROR(__xludf.DUMMYFUNCTION("GOOGLETRANSLATE(A2553, ""de"", ""uk"")"),"досвід")</f>
        <v>досвід</v>
      </c>
    </row>
    <row r="2554" ht="15.75" customHeight="1">
      <c r="A2554" s="1" t="s">
        <v>2494</v>
      </c>
      <c r="B2554" s="2" t="str">
        <f>IFERROR(__xludf.DUMMYFUNCTION("GOOGLETRANSLATE(A2554, ""de"", ""uk"")"),"мета")</f>
        <v>мета</v>
      </c>
    </row>
    <row r="2555" ht="15.75" customHeight="1">
      <c r="A2555" s="1" t="s">
        <v>2495</v>
      </c>
      <c r="B2555" s="2" t="str">
        <f>IFERROR(__xludf.DUMMYFUNCTION("GOOGLETRANSLATE(A2555, ""de"", ""uk"")"),"клуб")</f>
        <v>клуб</v>
      </c>
    </row>
    <row r="2556" ht="15.75" customHeight="1">
      <c r="A2556" s="1" t="s">
        <v>2496</v>
      </c>
      <c r="B2556" s="2" t="str">
        <f>IFERROR(__xludf.DUMMYFUNCTION("GOOGLETRANSLATE(A2556, ""de"", ""uk"")"),"партія")</f>
        <v>партія</v>
      </c>
    </row>
    <row r="2557" ht="15.75" customHeight="1">
      <c r="A2557" s="1" t="s">
        <v>2497</v>
      </c>
      <c r="B2557" s="2" t="str">
        <f>IFERROR(__xludf.DUMMYFUNCTION("GOOGLETRANSLATE(A2557, ""de"", ""uk"")"),"бар")</f>
        <v>бар</v>
      </c>
    </row>
    <row r="2558" ht="15.75" customHeight="1">
      <c r="A2558" s="1" t="s">
        <v>2498</v>
      </c>
      <c r="B2558" s="2" t="str">
        <f>IFERROR(__xludf.DUMMYFUNCTION("GOOGLETRANSLATE(A2558, ""de"", ""uk"")"),"гра")</f>
        <v>гра</v>
      </c>
    </row>
    <row r="2559" ht="15.75" customHeight="1">
      <c r="A2559" s="1" t="s">
        <v>2499</v>
      </c>
      <c r="B2559" s="2" t="str">
        <f>IFERROR(__xludf.DUMMYFUNCTION("GOOGLETRANSLATE(A2559, ""de"", ""uk"")"),"веселощі")</f>
        <v>веселощі</v>
      </c>
    </row>
    <row r="2560" ht="15.75" customHeight="1">
      <c r="A2560" s="1" t="s">
        <v>2500</v>
      </c>
      <c r="B2560" s="2" t="str">
        <f>IFERROR(__xludf.DUMMYFUNCTION("GOOGLETRANSLATE(A2560, ""de"", ""uk"")"),"плавати")</f>
        <v>плавати</v>
      </c>
    </row>
    <row r="2561" ht="15.75" customHeight="1">
      <c r="A2561" s="1" t="s">
        <v>2501</v>
      </c>
      <c r="B2561" s="2" t="str">
        <f>IFERROR(__xludf.DUMMYFUNCTION("GOOGLETRANSLATE(A2561, ""de"", ""uk"")"),"танець")</f>
        <v>танець</v>
      </c>
    </row>
    <row r="2562" ht="15.75" customHeight="1">
      <c r="A2562" s="1" t="s">
        <v>2502</v>
      </c>
      <c r="B2562" s="2" t="str">
        <f>IFERROR(__xludf.DUMMYFUNCTION("GOOGLETRANSLATE(A2562, ""de"", ""uk"")"),"похід")</f>
        <v>похід</v>
      </c>
    </row>
    <row r="2563" ht="15.75" customHeight="1">
      <c r="A2563" s="1" t="s">
        <v>2503</v>
      </c>
      <c r="B2563" s="2" t="str">
        <f>IFERROR(__xludf.DUMMYFUNCTION("GOOGLETRANSLATE(A2563, ""de"", ""uk"")"),"фарба")</f>
        <v>фарба</v>
      </c>
    </row>
    <row r="2564" ht="15.75" customHeight="1">
      <c r="A2564" s="1" t="s">
        <v>2504</v>
      </c>
      <c r="B2564" s="2" t="str">
        <f>IFERROR(__xludf.DUMMYFUNCTION("GOOGLETRANSLATE(A2564, ""de"", ""uk"")"),"кинути")</f>
        <v>кинути</v>
      </c>
    </row>
    <row r="2565" ht="15.75" customHeight="1">
      <c r="A2565" s="1" t="s">
        <v>2505</v>
      </c>
      <c r="B2565" s="2" t="str">
        <f>IFERROR(__xludf.DUMMYFUNCTION("GOOGLETRANSLATE(A2565, ""de"", ""uk"")"),"зловити")</f>
        <v>зловити</v>
      </c>
    </row>
    <row r="2566" ht="15.75" customHeight="1">
      <c r="A2566" s="1" t="s">
        <v>2506</v>
      </c>
      <c r="B2566" s="2" t="str">
        <f>IFERROR(__xludf.DUMMYFUNCTION("GOOGLETRANSLATE(A2566, ""de"", ""uk"")"),"збирати")</f>
        <v>збирати</v>
      </c>
    </row>
    <row r="2567" ht="15.75" customHeight="1">
      <c r="A2567" s="1" t="s">
        <v>2507</v>
      </c>
      <c r="B2567" s="2" t="str">
        <f>IFERROR(__xludf.DUMMYFUNCTION("GOOGLETRANSLATE(A2567, ""de"", ""uk"")"),"вірити")</f>
        <v>вірити</v>
      </c>
    </row>
    <row r="2568" ht="15.75" customHeight="1">
      <c r="A2568" s="1" t="s">
        <v>2508</v>
      </c>
      <c r="B2568" s="2" t="str">
        <f>IFERROR(__xludf.DUMMYFUNCTION("GOOGLETRANSLATE(A2568, ""de"", ""uk"")"),"святкувати")</f>
        <v>святкувати</v>
      </c>
    </row>
    <row r="2569" ht="15.75" customHeight="1">
      <c r="A2569" s="1" t="s">
        <v>2509</v>
      </c>
      <c r="B2569" s="2" t="str">
        <f>IFERROR(__xludf.DUMMYFUNCTION("GOOGLETRANSLATE(A2569, ""de"", ""uk"")"),"гриль")</f>
        <v>гриль</v>
      </c>
    </row>
    <row r="2570" ht="15.75" customHeight="1">
      <c r="A2570" s="1" t="s">
        <v>2510</v>
      </c>
      <c r="B2570" s="2" t="str">
        <f>IFERROR(__xludf.DUMMYFUNCTION("GOOGLETRANSLATE(A2570, ""de"", ""uk"")"),"поїзд")</f>
        <v>поїзд</v>
      </c>
    </row>
    <row r="2571" ht="15.75" customHeight="1">
      <c r="A2571" s="1" t="s">
        <v>2511</v>
      </c>
      <c r="B2571" s="2" t="str">
        <f>IFERROR(__xludf.DUMMYFUNCTION("GOOGLETRANSLATE(A2571, ""de"", ""uk"")"),"сон")</f>
        <v>сон</v>
      </c>
    </row>
    <row r="2572" ht="15.75" customHeight="1">
      <c r="A2572" s="1" t="s">
        <v>2512</v>
      </c>
      <c r="B2572" s="2" t="str">
        <f>IFERROR(__xludf.DUMMYFUNCTION("GOOGLETRANSLATE(A2572, ""de"", ""uk"")"),"малювати")</f>
        <v>малювати</v>
      </c>
    </row>
    <row r="2573" ht="15.75" customHeight="1">
      <c r="A2573" s="1" t="s">
        <v>2513</v>
      </c>
      <c r="B2573" s="2" t="str">
        <f>IFERROR(__xludf.DUMMYFUNCTION("GOOGLETRANSLATE(A2573, ""de"", ""uk"")"),"переглянути")</f>
        <v>переглянути</v>
      </c>
    </row>
    <row r="2574" ht="15.75" customHeight="1">
      <c r="A2574" s="1" t="s">
        <v>2514</v>
      </c>
      <c r="B2574" s="2" t="str">
        <f>IFERROR(__xludf.DUMMYFUNCTION("GOOGLETRANSLATE(A2574, ""de"", ""uk"")"),"досвід")</f>
        <v>досвід</v>
      </c>
    </row>
    <row r="2575" ht="15.75" customHeight="1">
      <c r="A2575" s="1" t="s">
        <v>2515</v>
      </c>
      <c r="B2575" s="2" t="str">
        <f>IFERROR(__xludf.DUMMYFUNCTION("GOOGLETRANSLATE(A2575, ""de"", ""uk"")"),"ВІДЧИНЕНО")</f>
        <v>ВІДЧИНЕНО</v>
      </c>
    </row>
    <row r="2576" ht="15.75" customHeight="1">
      <c r="A2576" s="1" t="s">
        <v>2516</v>
      </c>
      <c r="B2576" s="2" t="str">
        <f>IFERROR(__xludf.DUMMYFUNCTION("GOOGLETRANSLATE(A2576, ""de"", ""uk"")"),"співати")</f>
        <v>співати</v>
      </c>
    </row>
    <row r="2577" ht="15.75" customHeight="1">
      <c r="A2577" s="1" t="s">
        <v>2517</v>
      </c>
      <c r="B2577" s="2" t="str">
        <f>IFERROR(__xludf.DUMMYFUNCTION("GOOGLETRANSLATE(A2577, ""de"", ""uk"")"),"історичний")</f>
        <v>історичний</v>
      </c>
    </row>
    <row r="2578" ht="15.75" customHeight="1">
      <c r="A2578" s="1" t="s">
        <v>2518</v>
      </c>
      <c r="B2578" s="2" t="str">
        <f>IFERROR(__xludf.DUMMYFUNCTION("GOOGLETRANSLATE(A2578, ""de"", ""uk"")"),"захоплюючий")</f>
        <v>захоплюючий</v>
      </c>
    </row>
    <row r="2579" ht="15.75" customHeight="1">
      <c r="A2579" s="1" t="s">
        <v>2519</v>
      </c>
      <c r="B2579" s="2" t="str">
        <f>IFERROR(__xludf.DUMMYFUNCTION("GOOGLETRANSLATE(A2579, ""de"", ""uk"")"),"ще раз")</f>
        <v>ще раз</v>
      </c>
    </row>
    <row r="2580" ht="15.75" customHeight="1">
      <c r="A2580" s="4" t="s">
        <v>2520</v>
      </c>
      <c r="B2580" s="2" t="str">
        <f>IFERROR(__xludf.DUMMYFUNCTION("GOOGLETRANSLATE(A2580, ""de"", ""uk"")"),"Я ходжу плавати кожен день.")</f>
        <v>Я ходжу плавати кожен день.</v>
      </c>
    </row>
    <row r="2581" ht="15.75" customHeight="1">
      <c r="A2581" s="4" t="s">
        <v>2521</v>
      </c>
      <c r="B2581" s="2" t="str">
        <f>IFERROR(__xludf.DUMMYFUNCTION("GOOGLETRANSLATE(A2581, ""de"", ""uk"")"),"Ми всю ніч танцюємо.")</f>
        <v>Ми всю ніч танцюємо.</v>
      </c>
    </row>
    <row r="2582" ht="15.75" customHeight="1">
      <c r="A2582" s="4" t="s">
        <v>2522</v>
      </c>
      <c r="B2582" s="2" t="str">
        <f>IFERROR(__xludf.DUMMYFUNCTION("GOOGLETRANSLATE(A2582, ""de"", ""uk"")"),"Йшли дві години.")</f>
        <v>Йшли дві години.</v>
      </c>
    </row>
    <row r="2583" ht="15.75" customHeight="1">
      <c r="A2583" s="4" t="s">
        <v>2523</v>
      </c>
      <c r="B2583" s="2" t="str">
        <f>IFERROR(__xludf.DUMMYFUNCTION("GOOGLETRANSLATE(A2583, ""de"", ""uk"")"),"Мені дуже подобається малювати.")</f>
        <v>Мені дуже подобається малювати.</v>
      </c>
    </row>
    <row r="2584" ht="15.75" customHeight="1">
      <c r="A2584" s="4" t="s">
        <v>2524</v>
      </c>
      <c r="B2584" s="2" t="str">
        <f>IFERROR(__xludf.DUMMYFUNCTION("GOOGLETRANSLATE(A2584, ""de"", ""uk"")"),"Ви можете кинути мені м'яч, будь ласка?")</f>
        <v>Ви можете кинути мені м'яч, будь ласка?</v>
      </c>
    </row>
    <row r="2585" ht="15.75" customHeight="1">
      <c r="A2585" s="4" t="s">
        <v>2525</v>
      </c>
      <c r="B2585" s="2" t="str">
        <f>IFERROR(__xludf.DUMMYFUNCTION("GOOGLETRANSLATE(A2585, ""de"", ""uk"")"),"Дитина не зловила м'яч.")</f>
        <v>Дитина не зловила м'яч.</v>
      </c>
    </row>
    <row r="2586" ht="15.75" customHeight="1">
      <c r="A2586" s="4" t="s">
        <v>2526</v>
      </c>
      <c r="B2586" s="2" t="str">
        <f>IFERROR(__xludf.DUMMYFUNCTION("GOOGLETRANSLATE(A2586, ""de"", ""uk"")"),"Мій батько колекціонує марки.")</f>
        <v>Мій батько колекціонує марки.</v>
      </c>
    </row>
    <row r="2587" ht="15.75" customHeight="1">
      <c r="A2587" s="4" t="s">
        <v>2527</v>
      </c>
      <c r="B2587" s="2" t="str">
        <f>IFERROR(__xludf.DUMMYFUNCTION("GOOGLETRANSLATE(A2587, ""de"", ""uk"")"),"Я в це не вірю.")</f>
        <v>Я в це не вірю.</v>
      </c>
    </row>
    <row r="2588" ht="15.75" customHeight="1">
      <c r="A2588" s="4" t="s">
        <v>2528</v>
      </c>
      <c r="B2588" s="2" t="str">
        <f>IFERROR(__xludf.DUMMYFUNCTION("GOOGLETRANSLATE(A2588, ""de"", ""uk"")"),"Ми ходимо на вечірки кожні вихідні.")</f>
        <v>Ми ходимо на вечірки кожні вихідні.</v>
      </c>
    </row>
    <row r="2589" ht="15.75" customHeight="1">
      <c r="A2589" s="4" t="s">
        <v>2529</v>
      </c>
      <c r="B2589" s="2" t="str">
        <f>IFERROR(__xludf.DUMMYFUNCTION("GOOGLETRANSLATE(A2589, ""de"", ""uk"")"),"Ввечері я влаштував барбекю з сім'єю.")</f>
        <v>Ввечері я влаштував барбекю з сім'єю.</v>
      </c>
    </row>
    <row r="2590" ht="15.75" customHeight="1">
      <c r="A2590" s="4" t="s">
        <v>2530</v>
      </c>
      <c r="B2590" s="2" t="str">
        <f>IFERROR(__xludf.DUMMYFUNCTION("GOOGLETRANSLATE(A2590, ""de"", ""uk"")"),"Ми повинні тренуватися двічі на день.")</f>
        <v>Ми повинні тренуватися двічі на день.</v>
      </c>
    </row>
    <row r="2591" ht="15.75" customHeight="1">
      <c r="A2591" s="4" t="s">
        <v>2531</v>
      </c>
      <c r="B2591" s="2" t="str">
        <f>IFERROR(__xludf.DUMMYFUNCTION("GOOGLETRANSLATE(A2591, ""de"", ""uk"")"),"Коли я сплю, мені багато сниться.")</f>
        <v>Коли я сплю, мені багато сниться.</v>
      </c>
    </row>
    <row r="2592" ht="15.75" customHeight="1">
      <c r="A2592" s="4" t="s">
        <v>2532</v>
      </c>
      <c r="B2592" s="2" t="str">
        <f>IFERROR(__xludf.DUMMYFUNCTION("GOOGLETRANSLATE(A2592, ""de"", ""uk"")"),"Ви вже можете намалювати будинок?")</f>
        <v>Ви вже можете намалювати будинок?</v>
      </c>
    </row>
    <row r="2593" ht="15.75" customHeight="1">
      <c r="A2593" s="4" t="s">
        <v>2533</v>
      </c>
      <c r="B2593" s="2" t="str">
        <f>IFERROR(__xludf.DUMMYFUNCTION("GOOGLETRANSLATE(A2593, ""de"", ""uk"")"),"Оглядаємо визначні місця міста.")</f>
        <v>Оглядаємо визначні місця міста.</v>
      </c>
    </row>
    <row r="2594" ht="15.75" customHeight="1">
      <c r="A2594" s="4" t="s">
        <v>2534</v>
      </c>
      <c r="B2594" s="2" t="str">
        <f>IFERROR(__xludf.DUMMYFUNCTION("GOOGLETRANSLATE(A2594, ""de"", ""uk"")"),"Сьогодні ми багато пережили.")</f>
        <v>Сьогодні ми багато пережили.</v>
      </c>
    </row>
    <row r="2595" ht="15.75" customHeight="1">
      <c r="A2595" s="4" t="s">
        <v>2535</v>
      </c>
      <c r="B2595" s="2" t="str">
        <f>IFERROR(__xludf.DUMMYFUNCTION("GOOGLETRANSLATE(A2595, ""de"", ""uk"")"),"У Берліні відкривається новий музей.")</f>
        <v>У Берліні відкривається новий музей.</v>
      </c>
    </row>
    <row r="2596" ht="15.75" customHeight="1">
      <c r="A2596" s="4" t="s">
        <v>2536</v>
      </c>
      <c r="B2596" s="2" t="str">
        <f>IFERROR(__xludf.DUMMYFUNCTION("GOOGLETRANSLATE(A2596, ""de"", ""uk"")"),"Я люблю співати в поході.")</f>
        <v>Я люблю співати в поході.</v>
      </c>
    </row>
    <row r="2597" ht="15.75" customHeight="1">
      <c r="A2597" s="4" t="s">
        <v>2537</v>
      </c>
      <c r="B2597" s="2" t="str">
        <f>IFERROR(__xludf.DUMMYFUNCTION("GOOGLETRANSLATE(A2597, ""de"", ""uk"")"),"Лікар каже, що потрібно більше займатися спортом.")</f>
        <v>Лікар каже, що потрібно більше займатися спортом.</v>
      </c>
    </row>
    <row r="2598" ht="15.75" customHeight="1">
      <c r="A2598" s="4" t="s">
        <v>2538</v>
      </c>
      <c r="B2598" s="2" t="str">
        <f>IFERROR(__xludf.DUMMYFUNCTION("GOOGLETRANSLATE(A2598, ""de"", ""uk"")"),"Діти грають у баскетбол.")</f>
        <v>Діти грають у баскетбол.</v>
      </c>
    </row>
    <row r="2599" ht="15.75" customHeight="1">
      <c r="A2599" s="4" t="s">
        <v>2539</v>
      </c>
      <c r="B2599" s="2" t="str">
        <f>IFERROR(__xludf.DUMMYFUNCTION("GOOGLETRANSLATE(A2599, ""de"", ""uk"")"),"Футбол знову на телебаченні.")</f>
        <v>Футбол знову на телебаченні.</v>
      </c>
    </row>
    <row r="2600" ht="15.75" customHeight="1">
      <c r="A2600" s="4" t="s">
        <v>2540</v>
      </c>
      <c r="B2600" s="2" t="str">
        <f>IFERROR(__xludf.DUMMYFUNCTION("GOOGLETRANSLATE(A2600, ""de"", ""uk"")"),"Я багато бігаю.")</f>
        <v>Я багато бігаю.</v>
      </c>
    </row>
    <row r="2601" ht="15.75" customHeight="1">
      <c r="A2601" s="4" t="s">
        <v>2541</v>
      </c>
      <c r="B2601" s="2" t="str">
        <f>IFERROR(__xludf.DUMMYFUNCTION("GOOGLETRANSLATE(A2601, ""de"", ""uk"")"),"Він дуже добре грає в гандбол.")</f>
        <v>Він дуже добре грає в гандбол.</v>
      </c>
    </row>
    <row r="2602" ht="15.75" customHeight="1">
      <c r="A2602" s="4" t="s">
        <v>2542</v>
      </c>
      <c r="B2602" s="2" t="str">
        <f>IFERROR(__xludf.DUMMYFUNCTION("GOOGLETRANSLATE(A2602, ""de"", ""uk"")"),"На жаль, я не можу грати в теніс.")</f>
        <v>На жаль, я не можу грати в теніс.</v>
      </c>
    </row>
    <row r="2603" ht="15.75" customHeight="1">
      <c r="A2603" s="4" t="s">
        <v>2543</v>
      </c>
      <c r="B2603" s="2" t="str">
        <f>IFERROR(__xludf.DUMMYFUNCTION("GOOGLETRANSLATE(A2603, ""de"", ""uk"")"),"Мені дуже подобається настільний теніс.")</f>
        <v>Мені дуже подобається настільний теніс.</v>
      </c>
    </row>
    <row r="2604" ht="15.75" customHeight="1">
      <c r="A2604" s="4" t="s">
        <v>2544</v>
      </c>
      <c r="B2604" s="2" t="str">
        <f>IFERROR(__xludf.DUMMYFUNCTION("GOOGLETRANSLATE(A2604, ""de"", ""uk"")"),"У волейболі треба бути високим.")</f>
        <v>У волейболі треба бути високим.</v>
      </c>
    </row>
    <row r="2605" ht="15.75" customHeight="1">
      <c r="A2605" s="4" t="s">
        <v>2545</v>
      </c>
      <c r="B2605" s="2" t="str">
        <f>IFERROR(__xludf.DUMMYFUNCTION("GOOGLETRANSLATE(A2605, ""de"", ""uk"")"),"Хто зловив м'яч?")</f>
        <v>Хто зловив м'яч?</v>
      </c>
    </row>
    <row r="2606" ht="15.75" customHeight="1">
      <c r="A2606" s="4" t="s">
        <v>2546</v>
      </c>
      <c r="B2606" s="2" t="str">
        <f>IFERROR(__xludf.DUMMYFUNCTION("GOOGLETRANSLATE(A2606, ""de"", ""uk"")"),"Давай погуляємо.")</f>
        <v>Давай погуляємо.</v>
      </c>
    </row>
    <row r="2607" ht="15.75" customHeight="1">
      <c r="A2607" s="4" t="s">
        <v>2547</v>
      </c>
      <c r="B2607" s="2" t="str">
        <f>IFERROR(__xludf.DUMMYFUNCTION("GOOGLETRANSLATE(A2607, ""de"", ""uk"")"),"У суботу всією сім'єю йдемо в басейн.")</f>
        <v>У суботу всією сім'єю йдемо в басейн.</v>
      </c>
    </row>
    <row r="2608" ht="15.75" customHeight="1">
      <c r="A2608" s="4" t="s">
        <v>2548</v>
      </c>
      <c r="B2608" s="2" t="str">
        <f>IFERROR(__xludf.DUMMYFUNCTION("GOOGLETRANSLATE(A2608, ""de"", ""uk"")"),"На уроці фізкультури клас йде в спортзал.")</f>
        <v>На уроці фізкультури клас йде в спортзал.</v>
      </c>
    </row>
    <row r="2609" ht="15.75" customHeight="1">
      <c r="A2609" s="4" t="s">
        <v>2549</v>
      </c>
      <c r="B2609" s="2" t="str">
        <f>IFERROR(__xludf.DUMMYFUNCTION("GOOGLETRANSLATE(A2609, ""de"", ""uk"")"),"Сьогодні ми повинні піти на спортивний майданчик.")</f>
        <v>Сьогодні ми повинні піти на спортивний майданчик.</v>
      </c>
    </row>
    <row r="2610" ht="15.75" customHeight="1">
      <c r="A2610" s="4" t="s">
        <v>2550</v>
      </c>
      <c r="B2610" s="2" t="str">
        <f>IFERROR(__xludf.DUMMYFUNCTION("GOOGLETRANSLATE(A2610, ""de"", ""uk"")"),"Молодь любить ходити в кіно.")</f>
        <v>Молодь любить ходити в кіно.</v>
      </c>
    </row>
    <row r="2611" ht="15.75" customHeight="1">
      <c r="A2611" s="4" t="s">
        <v>2551</v>
      </c>
      <c r="B2611" s="2" t="str">
        <f>IFERROR(__xludf.DUMMYFUNCTION("GOOGLETRANSLATE(A2611, ""de"", ""uk"")"),"Старі люди люблять ходити в музеї.")</f>
        <v>Старі люди люблять ходити в музеї.</v>
      </c>
    </row>
    <row r="2612" ht="15.75" customHeight="1">
      <c r="A2612" s="4" t="s">
        <v>2552</v>
      </c>
      <c r="B2612" s="2" t="str">
        <f>IFERROR(__xludf.DUMMYFUNCTION("GOOGLETRANSLATE(A2612, ""de"", ""uk"")"),"Театр не для мене.")</f>
        <v>Театр не для мене.</v>
      </c>
    </row>
    <row r="2613" ht="15.75" customHeight="1">
      <c r="A2613" s="4" t="s">
        <v>2553</v>
      </c>
      <c r="B2613" s="2" t="str">
        <f>IFERROR(__xludf.DUMMYFUNCTION("GOOGLETRANSLATE(A2613, ""de"", ""uk"")"),"Як виглядає ваше повсякденне життя?")</f>
        <v>Як виглядає ваше повсякденне життя?</v>
      </c>
    </row>
    <row r="2614" ht="15.75" customHeight="1">
      <c r="A2614" s="4" t="s">
        <v>2554</v>
      </c>
      <c r="B2614" s="2" t="str">
        <f>IFERROR(__xludf.DUMMYFUNCTION("GOOGLETRANSLATE(A2614, ""de"", ""uk"")"),"Під час плавання потрібен хороший ритм.")</f>
        <v>Під час плавання потрібен хороший ритм.</v>
      </c>
    </row>
    <row r="2615" ht="15.75" customHeight="1">
      <c r="A2615" s="4" t="s">
        <v>2555</v>
      </c>
      <c r="B2615" s="2" t="str">
        <f>IFERROR(__xludf.DUMMYFUNCTION("GOOGLETRANSLATE(A2615, ""de"", ""uk"")"),"Ходимо з сином на майданчик.")</f>
        <v>Ходимо з сином на майданчик.</v>
      </c>
    </row>
    <row r="2616" ht="15.75" customHeight="1">
      <c r="A2616" s="4" t="s">
        <v>2556</v>
      </c>
      <c r="B2616" s="2" t="str">
        <f>IFERROR(__xludf.DUMMYFUNCTION("GOOGLETRANSLATE(A2616, ""de"", ""uk"")"),"Тут є футбольний клуб?")</f>
        <v>Тут є футбольний клуб?</v>
      </c>
    </row>
    <row r="2617" ht="15.75" customHeight="1">
      <c r="A2617" s="4" t="s">
        <v>2557</v>
      </c>
      <c r="B2617" s="2" t="str">
        <f>IFERROR(__xludf.DUMMYFUNCTION("GOOGLETRANSLATE(A2617, ""de"", ""uk"")"),"Ви повинні зробити багато фотографій на камеру.")</f>
        <v>Ви повинні зробити багато фотографій на камеру.</v>
      </c>
    </row>
    <row r="2618" ht="15.75" customHeight="1">
      <c r="A2618" s="4" t="s">
        <v>2558</v>
      </c>
      <c r="B2618" s="2" t="str">
        <f>IFERROR(__xludf.DUMMYFUNCTION("GOOGLETRANSLATE(A2618, ""de"", ""uk"")"),"Гарна музика лунає з радіо.")</f>
        <v>Гарна музика лунає з радіо.</v>
      </c>
    </row>
    <row r="2619" ht="15.75" customHeight="1">
      <c r="A2619" s="4" t="s">
        <v>2559</v>
      </c>
      <c r="B2619" s="2" t="str">
        <f>IFERROR(__xludf.DUMMYFUNCTION("GOOGLETRANSLATE(A2619, ""de"", ""uk"")"),"Нам потрібно проводити більше заходів.")</f>
        <v>Нам потрібно проводити більше заходів.</v>
      </c>
    </row>
    <row r="2620" ht="15.75" customHeight="1">
      <c r="A2620" s="4" t="s">
        <v>2560</v>
      </c>
      <c r="B2620" s="2" t="str">
        <f>IFERROR(__xludf.DUMMYFUNCTION("GOOGLETRANSLATE(A2620, ""de"", ""uk"")"),"У бібліотеці багато книг.")</f>
        <v>У бібліотеці багато книг.</v>
      </c>
    </row>
    <row r="2621" ht="15.75" customHeight="1">
      <c r="A2621" s="4" t="s">
        <v>2561</v>
      </c>
      <c r="B2621" s="2" t="str">
        <f>IFERROR(__xludf.DUMMYFUNCTION("GOOGLETRANSLATE(A2621, ""de"", ""uk"")"),"Влітку люди ходять у пивний сад.")</f>
        <v>Влітку люди ходять у пивний сад.</v>
      </c>
    </row>
    <row r="2622" ht="15.75" customHeight="1">
      <c r="A2622" s="4" t="s">
        <v>2562</v>
      </c>
      <c r="B2622" s="2" t="str">
        <f>IFERROR(__xludf.DUMMYFUNCTION("GOOGLETRANSLATE(A2622, ""de"", ""uk"")"),"Вхід коштує шість євро.")</f>
        <v>Вхід коштує шість євро.</v>
      </c>
    </row>
    <row r="2623" ht="15.75" customHeight="1">
      <c r="A2623" s="4" t="s">
        <v>2563</v>
      </c>
      <c r="B2623" s="2" t="str">
        <f>IFERROR(__xludf.DUMMYFUNCTION("GOOGLETRANSLATE(A2623, ""de"", ""uk"")"),"Концерт був дуже гарний.")</f>
        <v>Концерт був дуже гарний.</v>
      </c>
    </row>
    <row r="2624" ht="15.75" customHeight="1">
      <c r="A2624" s="4" t="s">
        <v>2564</v>
      </c>
      <c r="B2624" s="2" t="str">
        <f>IFERROR(__xludf.DUMMYFUNCTION("GOOGLETRANSLATE(A2624, ""de"", ""uk"")"),"Я прочитав поганий кримінальний роман.")</f>
        <v>Я прочитав поганий кримінальний роман.</v>
      </c>
    </row>
    <row r="2625" ht="15.75" customHeight="1">
      <c r="A2625" s="4" t="s">
        <v>2565</v>
      </c>
      <c r="B2625" s="2" t="str">
        <f>IFERROR(__xludf.DUMMYFUNCTION("GOOGLETRANSLATE(A2625, ""de"", ""uk"")"),"Клас відвідує Бундестаг.")</f>
        <v>Клас відвідує Бундестаг.</v>
      </c>
    </row>
    <row r="2626" ht="15.75" customHeight="1">
      <c r="A2626" s="4" t="s">
        <v>2566</v>
      </c>
      <c r="B2626" s="2" t="str">
        <f>IFERROR(__xludf.DUMMYFUNCTION("GOOGLETRANSLATE(A2626, ""de"", ""uk"")"),"Молодь любить ходити на дискотеку.")</f>
        <v>Молодь любить ходити на дискотеку.</v>
      </c>
    </row>
    <row r="2627" ht="15.75" customHeight="1">
      <c r="A2627" s="4" t="s">
        <v>2567</v>
      </c>
      <c r="B2627" s="2" t="str">
        <f>IFERROR(__xludf.DUMMYFUNCTION("GOOGLETRANSLATE(A2627, ""de"", ""uk"")"),"Закохані люблять влаштовувати пікнік.")</f>
        <v>Закохані люблять влаштовувати пікнік.</v>
      </c>
    </row>
    <row r="2628" ht="15.75" customHeight="1">
      <c r="A2628" s="4" t="s">
        <v>2568</v>
      </c>
      <c r="B2628" s="2" t="str">
        <f>IFERROR(__xludf.DUMMYFUNCTION("GOOGLETRANSLATE(A2628, ""de"", ""uk"")"),"Я вважаю німецьку культуру дуже цікавою.")</f>
        <v>Я вважаю німецьку культуру дуже цікавою.</v>
      </c>
    </row>
    <row r="2629" ht="15.75" customHeight="1">
      <c r="A2629" s="4" t="s">
        <v>2569</v>
      </c>
      <c r="B2629" s="2" t="str">
        <f>IFERROR(__xludf.DUMMYFUNCTION("GOOGLETRANSLATE(A2629, ""de"", ""uk"")"),"Є так багато можливостей.")</f>
        <v>Є так багато можливостей.</v>
      </c>
    </row>
    <row r="2630" ht="15.75" customHeight="1">
      <c r="A2630" s="4" t="s">
        <v>2570</v>
      </c>
      <c r="B2630" s="2" t="str">
        <f>IFERROR(__xludf.DUMMYFUNCTION("GOOGLETRANSLATE(A2630, ""de"", ""uk"")"),"Чоловік встановлює програму на комп'ютер.")</f>
        <v>Чоловік встановлює програму на комп'ютер.</v>
      </c>
    </row>
    <row r="2631" ht="15.75" customHeight="1">
      <c r="A2631" s="4" t="s">
        <v>2571</v>
      </c>
      <c r="B2631" s="2" t="str">
        <f>IFERROR(__xludf.DUMMYFUNCTION("GOOGLETRANSLATE(A2631, ""de"", ""uk"")"),"Я бачив багато пам'яток.")</f>
        <v>Я бачив багато пам'яток.</v>
      </c>
    </row>
    <row r="2632" ht="15.75" customHeight="1">
      <c r="A2632" s="4" t="s">
        <v>2572</v>
      </c>
      <c r="B2632" s="2" t="str">
        <f>IFERROR(__xludf.DUMMYFUNCTION("GOOGLETRANSLATE(A2632, ""de"", ""uk"")"),"У вас є досвід роботи з автомобілями?")</f>
        <v>У вас є досвід роботи з автомобілями?</v>
      </c>
    </row>
    <row r="2633" ht="15.75" customHeight="1">
      <c r="A2633" s="4" t="s">
        <v>2573</v>
      </c>
      <c r="B2633" s="2" t="str">
        <f>IFERROR(__xludf.DUMMYFUNCTION("GOOGLETRANSLATE(A2633, ""de"", ""uk"")"),"Наша мета – добре грати у футбол.")</f>
        <v>Наша мета – добре грати у футбол.</v>
      </c>
    </row>
    <row r="2634" ht="15.75" customHeight="1">
      <c r="A2634" s="4" t="s">
        <v>2574</v>
      </c>
      <c r="B2634" s="2" t="str">
        <f>IFERROR(__xludf.DUMMYFUNCTION("GOOGLETRANSLATE(A2634, ""de"", ""uk"")"),"Можна танцювати в клубі.")</f>
        <v>Можна танцювати в клубі.</v>
      </c>
    </row>
    <row r="2635" ht="15.75" customHeight="1">
      <c r="A2635" s="4" t="s">
        <v>2575</v>
      </c>
      <c r="B2635" s="2" t="str">
        <f>IFERROR(__xludf.DUMMYFUNCTION("GOOGLETRANSLATE(A2635, ""de"", ""uk"")"),"Ми святкуємо багато свят.")</f>
        <v>Ми святкуємо багато свят.</v>
      </c>
    </row>
    <row r="2636" ht="15.75" customHeight="1">
      <c r="A2636" s="4" t="s">
        <v>2576</v>
      </c>
      <c r="B2636" s="2" t="str">
        <f>IFERROR(__xludf.DUMMYFUNCTION("GOOGLETRANSLATE(A2636, ""de"", ""uk"")"),"Йдемо в бар і випиваємо ще келих вина.")</f>
        <v>Йдемо в бар і випиваємо ще келих вина.</v>
      </c>
    </row>
    <row r="2637" ht="15.75" customHeight="1">
      <c r="A2637" s="4" t="s">
        <v>2577</v>
      </c>
      <c r="B2637" s="2" t="str">
        <f>IFERROR(__xludf.DUMMYFUNCTION("GOOGLETRANSLATE(A2637, ""de"", ""uk"")"),"Ви бачили гру?")</f>
        <v>Ви бачили гру?</v>
      </c>
    </row>
    <row r="2638" ht="15.75" customHeight="1">
      <c r="A2638" s="4" t="s">
        <v>2578</v>
      </c>
      <c r="B2638" s="2" t="str">
        <f>IFERROR(__xludf.DUMMYFUNCTION("GOOGLETRANSLATE(A2638, ""de"", ""uk"")"),"Мені не було весело.")</f>
        <v>Мені не було весело.</v>
      </c>
    </row>
    <row r="2639" ht="15.75" customHeight="1">
      <c r="A2639" s="4" t="s">
        <v>2579</v>
      </c>
      <c r="B2639" s="2" t="str">
        <f>IFERROR(__xludf.DUMMYFUNCTION("GOOGLETRANSLATE(A2639, ""de"", ""uk"")"),"У музеї можна побачити історичні об'єкти.")</f>
        <v>У музеї можна побачити історичні об'єкти.</v>
      </c>
    </row>
    <row r="2640" ht="15.75" customHeight="1">
      <c r="A2640" s="4" t="s">
        <v>2580</v>
      </c>
      <c r="B2640" s="2" t="str">
        <f>IFERROR(__xludf.DUMMYFUNCTION("GOOGLETRANSLATE(A2640, ""de"", ""uk"")"),"Батько розповідає захоплюючу історію.")</f>
        <v>Батько розповідає захоплюючу історію.</v>
      </c>
    </row>
    <row r="2641" ht="15.75" customHeight="1">
      <c r="A2641" s="4" t="s">
        <v>2581</v>
      </c>
      <c r="B2641" s="2" t="str">
        <f>IFERROR(__xludf.DUMMYFUNCTION("GOOGLETRANSLATE(A2641, ""de"", ""uk"")"),"Я знову хочу в басейн.")</f>
        <v>Я знову хочу в басейн.</v>
      </c>
    </row>
    <row r="2642" ht="15.75" customHeight="1">
      <c r="A2642" s="1" t="s">
        <v>2582</v>
      </c>
      <c r="B2642" s="2" t="str">
        <f>IFERROR(__xludf.DUMMYFUNCTION("GOOGLETRANSLATE(A2642, ""de"", ""uk"")"),"працювати")</f>
        <v>працювати</v>
      </c>
    </row>
    <row r="2643" ht="15.75" customHeight="1">
      <c r="A2643" s="1" t="s">
        <v>2363</v>
      </c>
      <c r="B2643" s="2" t="str">
        <f>IFERROR(__xludf.DUMMYFUNCTION("GOOGLETRANSLATE(A2643, ""de"", ""uk"")"),"зробити телефонний дзвінок")</f>
        <v>зробити телефонний дзвінок</v>
      </c>
    </row>
    <row r="2644" ht="15.75" customHeight="1">
      <c r="A2644" s="1" t="s">
        <v>2583</v>
      </c>
      <c r="B2644" s="2" t="str">
        <f>IFERROR(__xludf.DUMMYFUNCTION("GOOGLETRANSLATE(A2644, ""de"", ""uk"")"),"працювати разом")</f>
        <v>працювати разом</v>
      </c>
    </row>
    <row r="2645" ht="15.75" customHeight="1">
      <c r="A2645" s="1" t="s">
        <v>2584</v>
      </c>
      <c r="B2645" s="2" t="str">
        <f>IFERROR(__xludf.DUMMYFUNCTION("GOOGLETRANSLATE(A2645, ""de"", ""uk"")"),"зареєструватися")</f>
        <v>зареєструватися</v>
      </c>
    </row>
    <row r="2646" ht="15.75" customHeight="1">
      <c r="A2646" s="1" t="s">
        <v>2585</v>
      </c>
      <c r="B2646" s="2" t="str">
        <f>IFERROR(__xludf.DUMMYFUNCTION("GOOGLETRANSLATE(A2646, ""de"", ""uk"")"),"найняти")</f>
        <v>найняти</v>
      </c>
    </row>
    <row r="2647" ht="15.75" customHeight="1">
      <c r="A2647" s="1" t="s">
        <v>2586</v>
      </c>
      <c r="B2647" s="2" t="str">
        <f>IFERROR(__xludf.DUMMYFUNCTION("GOOGLETRANSLATE(A2647, ""de"", ""uk"")"),"стресовий")</f>
        <v>стресовий</v>
      </c>
    </row>
    <row r="2648" ht="15.75" customHeight="1">
      <c r="A2648" s="1" t="s">
        <v>2587</v>
      </c>
      <c r="B2648" s="2" t="str">
        <f>IFERROR(__xludf.DUMMYFUNCTION("GOOGLETRANSLATE(A2648, ""de"", ""uk"")"),"боліти")</f>
        <v>боліти</v>
      </c>
    </row>
    <row r="2649" ht="15.75" customHeight="1">
      <c r="A2649" s="1" t="s">
        <v>2588</v>
      </c>
      <c r="B2649" s="2" t="str">
        <f>IFERROR(__xludf.DUMMYFUNCTION("GOOGLETRANSLATE(A2649, ""de"", ""uk"")"),"прояснити")</f>
        <v>прояснити</v>
      </c>
    </row>
    <row r="2650" ht="15.75" customHeight="1">
      <c r="A2650" s="1" t="s">
        <v>2589</v>
      </c>
      <c r="B2650" s="2" t="str">
        <f>IFERROR(__xludf.DUMMYFUNCTION("GOOGLETRANSLATE(A2650, ""de"", ""uk"")"),"СТІЙ")</f>
        <v>СТІЙ</v>
      </c>
    </row>
    <row r="2651" ht="15.75" customHeight="1">
      <c r="A2651" s="1" t="s">
        <v>2590</v>
      </c>
      <c r="B2651" s="2" t="str">
        <f>IFERROR(__xludf.DUMMYFUNCTION("GOOGLETRANSLATE(A2651, ""de"", ""uk"")"),"винаходити")</f>
        <v>винаходити</v>
      </c>
    </row>
    <row r="2652" ht="15.75" customHeight="1">
      <c r="A2652" s="1" t="s">
        <v>2591</v>
      </c>
      <c r="B2652" s="2" t="str">
        <f>IFERROR(__xludf.DUMMYFUNCTION("GOOGLETRANSLATE(A2652, ""de"", ""uk"")"),"тест")</f>
        <v>тест</v>
      </c>
    </row>
    <row r="2653" ht="15.75" customHeight="1">
      <c r="A2653" s="1" t="s">
        <v>2592</v>
      </c>
      <c r="B2653" s="2" t="str">
        <f>IFERROR(__xludf.DUMMYFUNCTION("GOOGLETRANSLATE(A2653, ""de"", ""uk"")"),"компанії")</f>
        <v>компанії</v>
      </c>
    </row>
    <row r="2654" ht="15.75" customHeight="1">
      <c r="A2654" s="1" t="s">
        <v>2593</v>
      </c>
      <c r="B2654" s="2" t="str">
        <f>IFERROR(__xludf.DUMMYFUNCTION("GOOGLETRANSLATE(A2654, ""de"", ""uk"")"),"прийом")</f>
        <v>прийом</v>
      </c>
    </row>
    <row r="2655" ht="15.75" customHeight="1">
      <c r="A2655" s="1" t="s">
        <v>2594</v>
      </c>
      <c r="B2655" s="2" t="str">
        <f>IFERROR(__xludf.DUMMYFUNCTION("GOOGLETRANSLATE(A2655, ""de"", ""uk"")"),"офіс")</f>
        <v>офіс</v>
      </c>
    </row>
    <row r="2656" ht="15.75" customHeight="1">
      <c r="A2656" s="1" t="s">
        <v>2595</v>
      </c>
      <c r="B2656" s="2" t="str">
        <f>IFERROR(__xludf.DUMMYFUNCTION("GOOGLETRANSLATE(A2656, ""de"", ""uk"")"),"письмовий стіл")</f>
        <v>письмовий стіл</v>
      </c>
    </row>
    <row r="2657" ht="15.75" customHeight="1">
      <c r="A2657" s="1" t="s">
        <v>2596</v>
      </c>
      <c r="B2657" s="2" t="str">
        <f>IFERROR(__xludf.DUMMYFUNCTION("GOOGLETRANSLATE(A2657, ""de"", ""uk"")"),"робота")</f>
        <v>робота</v>
      </c>
    </row>
    <row r="2658" ht="15.75" customHeight="1">
      <c r="A2658" s="1" t="s">
        <v>2597</v>
      </c>
      <c r="B2658" s="2" t="str">
        <f>IFERROR(__xludf.DUMMYFUNCTION("GOOGLETRANSLATE(A2658, ""de"", ""uk"")"),"бос")</f>
        <v>бос</v>
      </c>
    </row>
    <row r="2659" ht="15.75" customHeight="1">
      <c r="A2659" s="1" t="s">
        <v>2598</v>
      </c>
      <c r="B2659" s="2" t="str">
        <f>IFERROR(__xludf.DUMMYFUNCTION("GOOGLETRANSLATE(A2659, ""de"", ""uk"")"),"колега")</f>
        <v>колега</v>
      </c>
    </row>
    <row r="2660" ht="15.75" customHeight="1">
      <c r="A2660" s="1" t="s">
        <v>2599</v>
      </c>
      <c r="B2660" s="2" t="str">
        <f>IFERROR(__xludf.DUMMYFUNCTION("GOOGLETRANSLATE(A2660, ""de"", ""uk"")"),"перерва")</f>
        <v>перерва</v>
      </c>
    </row>
    <row r="2661" ht="15.75" customHeight="1">
      <c r="A2661" s="1" t="s">
        <v>2600</v>
      </c>
      <c r="B2661" s="2" t="str">
        <f>IFERROR(__xludf.DUMMYFUNCTION("GOOGLETRANSLATE(A2661, ""de"", ""uk"")"),"кінець дня")</f>
        <v>кінець дня</v>
      </c>
    </row>
    <row r="2662" ht="15.75" customHeight="1">
      <c r="A2662" s="1" t="s">
        <v>2601</v>
      </c>
      <c r="B2662" s="2" t="str">
        <f>IFERROR(__xludf.DUMMYFUNCTION("GOOGLETRANSLATE(A2662, ""de"", ""uk"")"),"погодинна оплата")</f>
        <v>погодинна оплата</v>
      </c>
    </row>
    <row r="2663" ht="15.75" customHeight="1">
      <c r="A2663" s="1" t="s">
        <v>2602</v>
      </c>
      <c r="B2663" s="2" t="str">
        <f>IFERROR(__xludf.DUMMYFUNCTION("GOOGLETRANSLATE(A2663, ""de"", ""uk"")"),"проект")</f>
        <v>проект</v>
      </c>
    </row>
    <row r="2664" ht="15.75" customHeight="1">
      <c r="A2664" s="1" t="s">
        <v>2603</v>
      </c>
      <c r="B2664" s="2" t="str">
        <f>IFERROR(__xludf.DUMMYFUNCTION("GOOGLETRANSLATE(A2664, ""de"", ""uk"")"),"передумова")</f>
        <v>передумова</v>
      </c>
    </row>
    <row r="2665" ht="15.75" customHeight="1">
      <c r="A2665" s="1" t="s">
        <v>2604</v>
      </c>
      <c r="B2665" s="2" t="str">
        <f>IFERROR(__xludf.DUMMYFUNCTION("GOOGLETRANSLATE(A2665, ""de"", ""uk"")"),"підготовка")</f>
        <v>підготовка</v>
      </c>
    </row>
    <row r="2666" ht="15.75" customHeight="1">
      <c r="A2666" s="1" t="s">
        <v>2605</v>
      </c>
      <c r="B2666" s="2" t="str">
        <f>IFERROR(__xludf.DUMMYFUNCTION("GOOGLETRANSLATE(A2666, ""de"", ""uk"")"),"інтерв'ю")</f>
        <v>інтерв'ю</v>
      </c>
    </row>
    <row r="2667" ht="15.75" customHeight="1">
      <c r="A2667" s="1" t="s">
        <v>2606</v>
      </c>
      <c r="B2667" s="2" t="str">
        <f>IFERROR(__xludf.DUMMYFUNCTION("GOOGLETRANSLATE(A2667, ""de"", ""uk"")"),"їдальня")</f>
        <v>їдальня</v>
      </c>
    </row>
    <row r="2668" ht="15.75" customHeight="1">
      <c r="A2668" s="1" t="s">
        <v>2607</v>
      </c>
      <c r="B2668" s="2" t="str">
        <f>IFERROR(__xludf.DUMMYFUNCTION("GOOGLETRANSLATE(A2668, ""de"", ""uk"")"),"команда")</f>
        <v>команда</v>
      </c>
    </row>
    <row r="2669" ht="15.75" customHeight="1">
      <c r="A2669" s="1" t="s">
        <v>2608</v>
      </c>
      <c r="B2669" s="2" t="str">
        <f>IFERROR(__xludf.DUMMYFUNCTION("GOOGLETRANSLATE(A2669, ""de"", ""uk"")"),"понаднормова робота")</f>
        <v>понаднормова робота</v>
      </c>
    </row>
    <row r="2670" ht="15.75" customHeight="1">
      <c r="A2670" s="1" t="s">
        <v>2609</v>
      </c>
      <c r="B2670" s="2" t="str">
        <f>IFERROR(__xludf.DUMMYFUNCTION("GOOGLETRANSLATE(A2670, ""de"", ""uk"")"),"успіх")</f>
        <v>успіх</v>
      </c>
    </row>
    <row r="2671" ht="15.75" customHeight="1">
      <c r="A2671" s="1" t="s">
        <v>2610</v>
      </c>
      <c r="B2671" s="2" t="str">
        <f>IFERROR(__xludf.DUMMYFUNCTION("GOOGLETRANSLATE(A2671, ""de"", ""uk"")"),"робоче місце")</f>
        <v>робоче місце</v>
      </c>
    </row>
    <row r="2672" ht="15.75" customHeight="1">
      <c r="A2672" s="1" t="s">
        <v>2611</v>
      </c>
      <c r="B2672" s="2" t="str">
        <f>IFERROR(__xludf.DUMMYFUNCTION("GOOGLETRANSLATE(A2672, ""de"", ""uk"")"),"потреба")</f>
        <v>потреба</v>
      </c>
    </row>
    <row r="2673" ht="15.75" customHeight="1">
      <c r="A2673" s="1" t="s">
        <v>2612</v>
      </c>
      <c r="B2673" s="2" t="str">
        <f>IFERROR(__xludf.DUMMYFUNCTION("GOOGLETRANSLATE(A2673, ""de"", ""uk"")"),"пожежна частина")</f>
        <v>пожежна частина</v>
      </c>
    </row>
    <row r="2674" ht="15.75" customHeight="1">
      <c r="A2674" s="1" t="s">
        <v>2613</v>
      </c>
      <c r="B2674" s="2" t="str">
        <f>IFERROR(__xludf.DUMMYFUNCTION("GOOGLETRANSLATE(A2674, ""de"", ""uk"")"),"пунктуальність")</f>
        <v>пунктуальність</v>
      </c>
    </row>
    <row r="2675" ht="15.75" customHeight="1">
      <c r="A2675" s="1" t="s">
        <v>2614</v>
      </c>
      <c r="B2675" s="2" t="str">
        <f>IFERROR(__xludf.DUMMYFUNCTION("GOOGLETRANSLATE(A2675, ""de"", ""uk"")"),"перевага")</f>
        <v>перевага</v>
      </c>
    </row>
    <row r="2676" ht="15.75" customHeight="1">
      <c r="A2676" s="1" t="s">
        <v>2615</v>
      </c>
      <c r="B2676" s="2" t="str">
        <f>IFERROR(__xludf.DUMMYFUNCTION("GOOGLETRANSLATE(A2676, ""de"", ""uk"")"),"навчання")</f>
        <v>навчання</v>
      </c>
    </row>
    <row r="2677" ht="15.75" customHeight="1">
      <c r="A2677" s="1" t="s">
        <v>2616</v>
      </c>
      <c r="B2677" s="2" t="str">
        <f>IFERROR(__xludf.DUMMYFUNCTION("GOOGLETRANSLATE(A2677, ""de"", ""uk"")"),"професійне навчання")</f>
        <v>професійне навчання</v>
      </c>
    </row>
    <row r="2678" ht="15.75" customHeight="1">
      <c r="A2678" s="1" t="s">
        <v>2617</v>
      </c>
      <c r="B2678" s="2" t="str">
        <f>IFERROR(__xludf.DUMMYFUNCTION("GOOGLETRANSLATE(A2678, ""de"", ""uk"")"),"розширення")</f>
        <v>розширення</v>
      </c>
    </row>
    <row r="2679" ht="15.75" customHeight="1">
      <c r="A2679" s="1" t="s">
        <v>2618</v>
      </c>
      <c r="B2679" s="2" t="str">
        <f>IFERROR(__xludf.DUMMYFUNCTION("GOOGLETRANSLATE(A2679, ""de"", ""uk"")"),"область")</f>
        <v>область</v>
      </c>
    </row>
    <row r="2680" ht="15.75" customHeight="1">
      <c r="A2680" s="1" t="s">
        <v>2619</v>
      </c>
      <c r="B2680" s="2" t="str">
        <f>IFERROR(__xludf.DUMMYFUNCTION("GOOGLETRANSLATE(A2680, ""de"", ""uk"")"),"операція")</f>
        <v>операція</v>
      </c>
    </row>
    <row r="2681" ht="15.75" customHeight="1">
      <c r="A2681" s="1" t="s">
        <v>2620</v>
      </c>
      <c r="B2681" s="2" t="str">
        <f>IFERROR(__xludf.DUMMYFUNCTION("GOOGLETRANSLATE(A2681, ""de"", ""uk"")"),"платіж")</f>
        <v>платіж</v>
      </c>
    </row>
    <row r="2682" ht="15.75" customHeight="1">
      <c r="A2682" s="1" t="s">
        <v>2621</v>
      </c>
      <c r="B2682" s="2" t="str">
        <f>IFERROR(__xludf.DUMMYFUNCTION("GOOGLETRANSLATE(A2682, ""de"", ""uk"")"),"книгарня")</f>
        <v>книгарня</v>
      </c>
    </row>
    <row r="2683" ht="15.75" customHeight="1">
      <c r="A2683" s="1" t="s">
        <v>2622</v>
      </c>
      <c r="B2683" s="2" t="str">
        <f>IFERROR(__xludf.DUMMYFUNCTION("GOOGLETRANSLATE(A2683, ""de"", ""uk"")"),"директор")</f>
        <v>директор</v>
      </c>
    </row>
    <row r="2684" ht="15.75" customHeight="1">
      <c r="A2684" s="1" t="s">
        <v>2623</v>
      </c>
      <c r="B2684" s="2" t="str">
        <f>IFERROR(__xludf.DUMMYFUNCTION("GOOGLETRANSLATE(A2684, ""de"", ""uk"")"),"інженер")</f>
        <v>інженер</v>
      </c>
    </row>
    <row r="2685" ht="15.75" customHeight="1">
      <c r="A2685" s="1" t="s">
        <v>2624</v>
      </c>
      <c r="B2685" s="2" t="str">
        <f>IFERROR(__xludf.DUMMYFUNCTION("GOOGLETRANSLATE(A2685, ""de"", ""uk"")"),"працівник")</f>
        <v>працівник</v>
      </c>
    </row>
    <row r="2686" ht="15.75" customHeight="1">
      <c r="A2686" s="1" t="s">
        <v>2625</v>
      </c>
      <c r="B2686" s="2" t="str">
        <f>IFERROR(__xludf.DUMMYFUNCTION("GOOGLETRANSLATE(A2686, ""de"", ""uk"")"),"додаток")</f>
        <v>додаток</v>
      </c>
    </row>
    <row r="2687" ht="15.75" customHeight="1">
      <c r="A2687" s="1" t="s">
        <v>2626</v>
      </c>
      <c r="B2687" s="2" t="str">
        <f>IFERROR(__xludf.DUMMYFUNCTION("GOOGLETRANSLATE(A2687, ""de"", ""uk"")"),"робота")</f>
        <v>робота</v>
      </c>
    </row>
    <row r="2688" ht="15.75" customHeight="1">
      <c r="A2688" s="1" t="s">
        <v>2627</v>
      </c>
      <c r="B2688" s="2" t="str">
        <f>IFERROR(__xludf.DUMMYFUNCTION("GOOGLETRANSLATE(A2688, ""de"", ""uk"")"),"адвокат")</f>
        <v>адвокат</v>
      </c>
    </row>
    <row r="2689" ht="15.75" customHeight="1">
      <c r="A2689" s="1" t="s">
        <v>2628</v>
      </c>
      <c r="B2689" s="2" t="str">
        <f>IFERROR(__xludf.DUMMYFUNCTION("GOOGLETRANSLATE(A2689, ""de"", ""uk"")"),"робітник")</f>
        <v>робітник</v>
      </c>
    </row>
    <row r="2690" ht="15.75" customHeight="1">
      <c r="A2690" s="1" t="s">
        <v>2629</v>
      </c>
      <c r="B2690" s="2" t="str">
        <f>IFERROR(__xludf.DUMMYFUNCTION("GOOGLETRANSLATE(A2690, ""de"", ""uk"")"),"пекар/пекар")</f>
        <v>пекар/пекар</v>
      </c>
    </row>
    <row r="2691" ht="15.75" customHeight="1">
      <c r="A2691" s="1" t="s">
        <v>2630</v>
      </c>
      <c r="B2691" s="2" t="str">
        <f>IFERROR(__xludf.DUMMYFUNCTION("GOOGLETRANSLATE(A2691, ""de"", ""uk"")"),"фермер/дружина фермера")</f>
        <v>фермер/дружина фермера</v>
      </c>
    </row>
    <row r="2692" ht="15.75" customHeight="1">
      <c r="A2692" s="1" t="s">
        <v>2631</v>
      </c>
      <c r="B2692" s="2" t="str">
        <f>IFERROR(__xludf.DUMMYFUNCTION("GOOGLETRANSLATE(A2692, ""de"", ""uk"")"),"листоноша/жінка")</f>
        <v>листоноша/жінка</v>
      </c>
    </row>
    <row r="2693" ht="15.75" customHeight="1">
      <c r="A2693" s="1" t="s">
        <v>2632</v>
      </c>
      <c r="B2693" s="2" t="str">
        <f>IFERROR(__xludf.DUMMYFUNCTION("GOOGLETRANSLATE(A2693, ""de"", ""uk"")"),"електрик")</f>
        <v>електрик</v>
      </c>
    </row>
    <row r="2694" ht="15.75" customHeight="1">
      <c r="A2694" s="1" t="s">
        <v>2633</v>
      </c>
      <c r="B2694" s="2" t="str">
        <f>IFERROR(__xludf.DUMMYFUNCTION("GOOGLETRANSLATE(A2694, ""de"", ""uk"")"),"м'ясник/м'ясник")</f>
        <v>м'ясник/м'ясник</v>
      </c>
    </row>
    <row r="2695" ht="15.75" customHeight="1">
      <c r="A2695" s="1" t="s">
        <v>2634</v>
      </c>
      <c r="B2695" s="2" t="str">
        <f>IFERROR(__xludf.DUMMYFUNCTION("GOOGLETRANSLATE(A2695, ""de"", ""uk"")"),"садівник")</f>
        <v>садівник</v>
      </c>
    </row>
    <row r="2696" ht="15.75" customHeight="1">
      <c r="A2696" s="1" t="s">
        <v>2635</v>
      </c>
      <c r="B2696" s="2" t="str">
        <f>IFERROR(__xludf.DUMMYFUNCTION("GOOGLETRANSLATE(A2696, ""de"", ""uk"")"),"домогосподарка")</f>
        <v>домогосподарка</v>
      </c>
    </row>
    <row r="2697" ht="15.75" customHeight="1">
      <c r="A2697" s="1" t="s">
        <v>2636</v>
      </c>
      <c r="B2697" s="2" t="str">
        <f>IFERROR(__xludf.DUMMYFUNCTION("GOOGLETRANSLATE(A2697, ""de"", ""uk"")"),"доглядач/доглядач")</f>
        <v>доглядач/доглядач</v>
      </c>
    </row>
    <row r="2698" ht="15.75" customHeight="1">
      <c r="A2698" s="1" t="s">
        <v>2637</v>
      </c>
      <c r="B2698" s="2" t="str">
        <f>IFERROR(__xludf.DUMMYFUNCTION("GOOGLETRANSLATE(A2698, ""de"", ""uk"")"),"сантехнік/сантехнік")</f>
        <v>сантехнік/сантехнік</v>
      </c>
    </row>
    <row r="2699" ht="15.75" customHeight="1">
      <c r="A2699" s="1" t="s">
        <v>2638</v>
      </c>
      <c r="B2699" s="2" t="str">
        <f>IFERROR(__xludf.DUMMYFUNCTION("GOOGLETRANSLATE(A2699, ""de"", ""uk"")"),"кухар/кухар")</f>
        <v>кухар/кухар</v>
      </c>
    </row>
    <row r="2700" ht="15.75" customHeight="1">
      <c r="A2700" s="1" t="s">
        <v>2639</v>
      </c>
      <c r="B2700" s="2" t="str">
        <f>IFERROR(__xludf.DUMMYFUNCTION("GOOGLETRANSLATE(A2700, ""de"", ""uk"")"),"художник")</f>
        <v>художник</v>
      </c>
    </row>
    <row r="2701" ht="15.75" customHeight="1">
      <c r="A2701" s="1" t="s">
        <v>2640</v>
      </c>
      <c r="B2701" s="2" t="str">
        <f>IFERROR(__xludf.DUMMYFUNCTION("GOOGLETRANSLATE(A2701, ""de"", ""uk"")"),"муляр")</f>
        <v>муляр</v>
      </c>
    </row>
    <row r="2702" ht="15.75" customHeight="1">
      <c r="A2702" s="1" t="s">
        <v>2641</v>
      </c>
      <c r="B2702" s="2" t="str">
        <f>IFERROR(__xludf.DUMMYFUNCTION("GOOGLETRANSLATE(A2702, ""de"", ""uk"")"),"механік")</f>
        <v>механік</v>
      </c>
    </row>
    <row r="2703" ht="15.75" customHeight="1">
      <c r="A2703" s="1" t="s">
        <v>2642</v>
      </c>
      <c r="B2703" s="2" t="str">
        <f>IFERROR(__xludf.DUMMYFUNCTION("GOOGLETRANSLATE(A2703, ""de"", ""uk"")"),"поліцейський/поліцейська")</f>
        <v>поліцейський/поліцейська</v>
      </c>
    </row>
    <row r="2704" ht="15.75" customHeight="1">
      <c r="A2704" s="1" t="s">
        <v>2643</v>
      </c>
      <c r="B2704" s="2" t="str">
        <f>IFERROR(__xludf.DUMMYFUNCTION("GOOGLETRANSLATE(A2704, ""de"", ""uk"")"),"кравець/кравчиня")</f>
        <v>кравець/кравчиня</v>
      </c>
    </row>
    <row r="2705" ht="15.75" customHeight="1">
      <c r="A2705" s="1" t="s">
        <v>2644</v>
      </c>
      <c r="B2705" s="2" t="str">
        <f>IFERROR(__xludf.DUMMYFUNCTION("GOOGLETRANSLATE(A2705, ""de"", ""uk"")"),"секретар")</f>
        <v>секретар</v>
      </c>
    </row>
    <row r="2706" ht="15.75" customHeight="1">
      <c r="A2706" s="1" t="s">
        <v>2645</v>
      </c>
      <c r="B2706" s="2" t="str">
        <f>IFERROR(__xludf.DUMMYFUNCTION("GOOGLETRANSLATE(A2706, ""de"", ""uk"")"),"роль")</f>
        <v>роль</v>
      </c>
    </row>
    <row r="2707" ht="15.75" customHeight="1">
      <c r="A2707" s="1" t="s">
        <v>2646</v>
      </c>
      <c r="B2707" s="2" t="str">
        <f>IFERROR(__xludf.DUMMYFUNCTION("GOOGLETRANSLATE(A2707, ""de"", ""uk"")"),"зарплата")</f>
        <v>зарплата</v>
      </c>
    </row>
    <row r="2708" ht="15.75" customHeight="1">
      <c r="A2708" s="1" t="s">
        <v>2647</v>
      </c>
      <c r="B2708" s="2" t="str">
        <f>IFERROR(__xludf.DUMMYFUNCTION("GOOGLETRANSLATE(A2708, ""de"", ""uk"")"),"робота")</f>
        <v>робота</v>
      </c>
    </row>
    <row r="2709" ht="15.75" customHeight="1">
      <c r="A2709" s="1" t="s">
        <v>2648</v>
      </c>
      <c r="B2709" s="2" t="str">
        <f>IFERROR(__xludf.DUMMYFUNCTION("GOOGLETRANSLATE(A2709, ""de"", ""uk"")"),"художник")</f>
        <v>художник</v>
      </c>
    </row>
    <row r="2710" ht="15.75" customHeight="1">
      <c r="A2710" s="1" t="s">
        <v>2649</v>
      </c>
      <c r="B2710" s="2" t="str">
        <f>IFERROR(__xludf.DUMMYFUNCTION("GOOGLETRANSLATE(A2710, ""de"", ""uk"")"),"господар/господиня")</f>
        <v>господар/господиня</v>
      </c>
    </row>
    <row r="2711" ht="15.75" customHeight="1">
      <c r="A2711" s="1" t="s">
        <v>2650</v>
      </c>
      <c r="B2711" s="2" t="str">
        <f>IFERROR(__xludf.DUMMYFUNCTION("GOOGLETRANSLATE(A2711, ""de"", ""uk"")"),"політик")</f>
        <v>політик</v>
      </c>
    </row>
    <row r="2712" ht="15.75" customHeight="1">
      <c r="A2712" s="1" t="s">
        <v>2651</v>
      </c>
      <c r="B2712" s="2" t="str">
        <f>IFERROR(__xludf.DUMMYFUNCTION("GOOGLETRANSLATE(A2712, ""de"", ""uk"")"),"співак/співачка")</f>
        <v>співак/співачка</v>
      </c>
    </row>
    <row r="2713" ht="15.75" customHeight="1">
      <c r="A2713" s="1" t="s">
        <v>2652</v>
      </c>
      <c r="B2713" s="2" t="str">
        <f>IFERROR(__xludf.DUMMYFUNCTION("GOOGLETRANSLATE(A2713, ""de"", ""uk"")"),"робоче місце")</f>
        <v>робоче місце</v>
      </c>
    </row>
    <row r="2714" ht="15.75" customHeight="1">
      <c r="A2714" s="1" t="s">
        <v>2653</v>
      </c>
      <c r="B2714" s="2" t="str">
        <f>IFERROR(__xludf.DUMMYFUNCTION("GOOGLETRANSLATE(A2714, ""de"", ""uk"")"),"стажування")</f>
        <v>стажування</v>
      </c>
    </row>
    <row r="2715" ht="15.75" customHeight="1">
      <c r="A2715" s="1" t="s">
        <v>2654</v>
      </c>
      <c r="B2715" s="2" t="str">
        <f>IFERROR(__xludf.DUMMYFUNCTION("GOOGLETRANSLATE(A2715, ""de"", ""uk"")"),"безкоштовно")</f>
        <v>безкоштовно</v>
      </c>
    </row>
    <row r="2716" ht="15.75" customHeight="1">
      <c r="A2716" s="1" t="s">
        <v>2655</v>
      </c>
      <c r="B2716" s="2" t="str">
        <f>IFERROR(__xludf.DUMMYFUNCTION("GOOGLETRANSLATE(A2716, ""de"", ""uk"")"),"рівномірно")</f>
        <v>рівномірно</v>
      </c>
    </row>
    <row r="2717" ht="15.75" customHeight="1">
      <c r="A2717" s="1" t="s">
        <v>2656</v>
      </c>
      <c r="B2717" s="2" t="str">
        <f>IFERROR(__xludf.DUMMYFUNCTION("GOOGLETRANSLATE(A2717, ""de"", ""uk"")"),"надійний")</f>
        <v>надійний</v>
      </c>
    </row>
    <row r="2718" ht="15.75" customHeight="1">
      <c r="A2718" s="1" t="s">
        <v>2657</v>
      </c>
      <c r="B2718" s="2" t="str">
        <f>IFERROR(__xludf.DUMMYFUNCTION("GOOGLETRANSLATE(A2718, ""de"", ""uk"")"),"старанний")</f>
        <v>старанний</v>
      </c>
    </row>
    <row r="2719" ht="15.75" customHeight="1">
      <c r="A2719" s="1" t="s">
        <v>2658</v>
      </c>
      <c r="B2719" s="2" t="str">
        <f>IFERROR(__xludf.DUMMYFUNCTION("GOOGLETRANSLATE(A2719, ""de"", ""uk"")"),"звичайний")</f>
        <v>звичайний</v>
      </c>
    </row>
    <row r="2720" ht="15.75" customHeight="1">
      <c r="A2720" s="1" t="s">
        <v>2659</v>
      </c>
      <c r="B2720" s="2" t="str">
        <f>IFERROR(__xludf.DUMMYFUNCTION("GOOGLETRANSLATE(A2720, ""de"", ""uk"")"),"ідеал")</f>
        <v>ідеал</v>
      </c>
    </row>
    <row r="2721" ht="15.75" customHeight="1">
      <c r="A2721" s="1" t="s">
        <v>2660</v>
      </c>
      <c r="B2721" s="2" t="str">
        <f>IFERROR(__xludf.DUMMYFUNCTION("GOOGLETRANSLATE(A2721, ""de"", ""uk"")"),"чистий")</f>
        <v>чистий</v>
      </c>
    </row>
    <row r="2722" ht="15.75" customHeight="1">
      <c r="A2722" s="1" t="s">
        <v>2661</v>
      </c>
      <c r="B2722" s="2" t="str">
        <f>IFERROR(__xludf.DUMMYFUNCTION("GOOGLETRANSLATE(A2722, ""de"", ""uk"")"),"безробітний")</f>
        <v>безробітний</v>
      </c>
    </row>
    <row r="2723" ht="15.75" customHeight="1">
      <c r="A2723" s="1" t="s">
        <v>2662</v>
      </c>
      <c r="B2723" s="2" t="str">
        <f>IFERROR(__xludf.DUMMYFUNCTION("GOOGLETRANSLATE(A2723, ""de"", ""uk"")"),"брутто")</f>
        <v>брутто</v>
      </c>
    </row>
    <row r="2724" ht="15.75" customHeight="1">
      <c r="A2724" s="4" t="s">
        <v>2663</v>
      </c>
      <c r="B2724" s="2" t="str">
        <f>IFERROR(__xludf.DUMMYFUNCTION("GOOGLETRANSLATE(A2724, ""de"", ""uk"")"),"Я завжди працюю в будні.")</f>
        <v>Я завжди працюю в будні.</v>
      </c>
    </row>
    <row r="2725" ht="15.75" customHeight="1">
      <c r="A2725" s="4" t="s">
        <v>2664</v>
      </c>
      <c r="B2725" s="2" t="str">
        <f>IFERROR(__xludf.DUMMYFUNCTION("GOOGLETRANSLATE(A2725, ""de"", ""uk"")"),"Нарешті ми повинні працювати разом.")</f>
        <v>Нарешті ми повинні працювати разом.</v>
      </c>
    </row>
    <row r="2726" ht="15.75" customHeight="1">
      <c r="A2726" s="4" t="s">
        <v>2665</v>
      </c>
      <c r="B2726" s="2" t="str">
        <f>IFERROR(__xludf.DUMMYFUNCTION("GOOGLETRANSLATE(A2726, ""de"", ""uk"")"),"Він хотів би зареєструватися на тренінг.")</f>
        <v>Він хотів би зареєструватися на тренінг.</v>
      </c>
    </row>
    <row r="2727" ht="15.75" customHeight="1">
      <c r="A2727" s="4" t="s">
        <v>2666</v>
      </c>
      <c r="B2727" s="2" t="str">
        <f>IFERROR(__xludf.DUMMYFUNCTION("GOOGLETRANSLATE(A2727, ""de"", ""uk"")"),"Скільки працівників вони наймають?")</f>
        <v>Скільки працівників вони наймають?</v>
      </c>
    </row>
    <row r="2728" ht="15.75" customHeight="1">
      <c r="A2728" s="4" t="s">
        <v>2667</v>
      </c>
      <c r="B2728" s="2" t="str">
        <f>IFERROR(__xludf.DUMMYFUNCTION("GOOGLETRANSLATE(A2728, ""de"", ""uk"")"),"Робота пекарем дуже виснажлива.")</f>
        <v>Робота пекарем дуже виснажлива.</v>
      </c>
    </row>
    <row r="2729" ht="15.75" customHeight="1">
      <c r="A2729" s="4" t="s">
        <v>2668</v>
      </c>
      <c r="B2729" s="2" t="str">
        <f>IFERROR(__xludf.DUMMYFUNCTION("GOOGLETRANSLATE(A2729, ""de"", ""uk"")"),"Вибачте, але ви не можете тут працювати.")</f>
        <v>Вибачте, але ви не можете тут працювати.</v>
      </c>
    </row>
    <row r="2730" ht="15.75" customHeight="1">
      <c r="A2730" s="4" t="s">
        <v>2669</v>
      </c>
      <c r="B2730" s="2" t="str">
        <f>IFERROR(__xludf.DUMMYFUNCTION("GOOGLETRANSLATE(A2730, ""de"", ""uk"")"),"Ви повинні уточнити це на своєму робочому місці.")</f>
        <v>Ви повинні уточнити це на своєму робочому місці.</v>
      </c>
    </row>
    <row r="2731" ht="15.75" customHeight="1">
      <c r="A2731" s="4" t="s">
        <v>2670</v>
      </c>
      <c r="B2731" s="2" t="str">
        <f>IFERROR(__xludf.DUMMYFUNCTION("GOOGLETRANSLATE(A2731, ""de"", ""uk"")"),"Пекар хворий і змушений припинити роботу.")</f>
        <v>Пекар хворий і змушений припинити роботу.</v>
      </c>
    </row>
    <row r="2732" ht="15.75" customHeight="1">
      <c r="A2732" s="4" t="s">
        <v>2671</v>
      </c>
      <c r="B2732" s="2" t="str">
        <f>IFERROR(__xludf.DUMMYFUNCTION("GOOGLETRANSLATE(A2732, ""de"", ""uk"")"),"Ми винаходимо нові мобільні телефони.")</f>
        <v>Ми винаходимо нові мобільні телефони.</v>
      </c>
    </row>
    <row r="2733" ht="15.75" customHeight="1">
      <c r="A2733" s="4" t="s">
        <v>2672</v>
      </c>
      <c r="B2733" s="2" t="str">
        <f>IFERROR(__xludf.DUMMYFUNCTION("GOOGLETRANSLATE(A2733, ""de"", ""uk"")"),"Я маю перевірити комп’ютери.")</f>
        <v>Я маю перевірити комп’ютери.</v>
      </c>
    </row>
    <row r="2734" ht="15.75" customHeight="1">
      <c r="A2734" s="4" t="s">
        <v>2673</v>
      </c>
      <c r="B2734" s="2" t="str">
        <f>IFERROR(__xludf.DUMMYFUNCTION("GOOGLETRANSLATE(A2734, ""de"", ""uk"")"),"Моя компанія працює добре.")</f>
        <v>Моя компанія працює добре.</v>
      </c>
    </row>
    <row r="2735" ht="15.75" customHeight="1">
      <c r="A2735" s="4" t="s">
        <v>2674</v>
      </c>
      <c r="B2735" s="2" t="str">
        <f>IFERROR(__xludf.DUMMYFUNCTION("GOOGLETRANSLATE(A2735, ""de"", ""uk"")"),"Чи можете ви, будь ласка, з'явитися на рецепції?")</f>
        <v>Чи можете ви, будь ласка, з'явитися на рецепції?</v>
      </c>
    </row>
    <row r="2736" ht="15.75" customHeight="1">
      <c r="A2736" s="4" t="s">
        <v>2675</v>
      </c>
      <c r="B2736" s="2" t="str">
        <f>IFERROR(__xludf.DUMMYFUNCTION("GOOGLETRANSLATE(A2736, ""de"", ""uk"")"),"Бос сидить у своєму кабінеті і чекає.")</f>
        <v>Бос сидить у своєму кабінеті і чекає.</v>
      </c>
    </row>
    <row r="2737" ht="15.75" customHeight="1">
      <c r="A2737" s="4" t="s">
        <v>2676</v>
      </c>
      <c r="B2737" s="2" t="str">
        <f>IFERROR(__xludf.DUMMYFUNCTION("GOOGLETRANSLATE(A2737, ""de"", ""uk"")"),"На моєму столі багато грошей.")</f>
        <v>На моєму столі багато грошей.</v>
      </c>
    </row>
    <row r="2738" ht="15.75" customHeight="1">
      <c r="A2738" s="4" t="s">
        <v>2677</v>
      </c>
      <c r="B2738" s="2" t="str">
        <f>IFERROR(__xludf.DUMMYFUNCTION("GOOGLETRANSLATE(A2738, ""de"", ""uk"")"),"Мені потрібна нова робота.")</f>
        <v>Мені потрібна нова робота.</v>
      </c>
    </row>
    <row r="2739" ht="15.75" customHeight="1">
      <c r="A2739" s="4" t="s">
        <v>2678</v>
      </c>
      <c r="B2739" s="2" t="str">
        <f>IFERROR(__xludf.DUMMYFUNCTION("GOOGLETRANSLATE(A2739, ""de"", ""uk"")"),"Мій бос дуже працьовитий. ")</f>
        <v>Мій бос дуже працьовитий. </v>
      </c>
    </row>
    <row r="2740" ht="15.75" customHeight="1">
      <c r="A2740" s="4" t="s">
        <v>2679</v>
      </c>
      <c r="B2740" s="2" t="str">
        <f>IFERROR(__xludf.DUMMYFUNCTION("GOOGLETRANSLATE(A2740, ""de"", ""uk"")"),"Колеги ставляться до неї дуже доброзичливо.")</f>
        <v>Колеги ставляться до неї дуже доброзичливо.</v>
      </c>
    </row>
    <row r="2741" ht="15.75" customHeight="1">
      <c r="A2741" s="4" t="s">
        <v>2680</v>
      </c>
      <c r="B2741" s="2" t="str">
        <f>IFERROR(__xludf.DUMMYFUNCTION("GOOGLETRANSLATE(A2741, ""de"", ""uk"")"),"Мені нарешті потрібна перерва.")</f>
        <v>Мені нарешті потрібна перерва.</v>
      </c>
    </row>
    <row r="2742" ht="15.75" customHeight="1">
      <c r="A2742" s="4" t="s">
        <v>2681</v>
      </c>
      <c r="B2742" s="2" t="str">
        <f>IFERROR(__xludf.DUMMYFUNCTION("GOOGLETRANSLATE(A2742, ""de"", ""uk"")"),"Коли ми закінчимо роботу?")</f>
        <v>Коли ми закінчимо роботу?</v>
      </c>
    </row>
    <row r="2743" ht="15.75" customHeight="1">
      <c r="A2743" s="4" t="s">
        <v>2682</v>
      </c>
      <c r="B2743" s="2" t="str">
        <f>IFERROR(__xludf.DUMMYFUNCTION("GOOGLETRANSLATE(A2743, ""de"", ""uk"")"),"Я не працюю за погодинну оплату в три євро.")</f>
        <v>Я не працюю за погодинну оплату в три євро.</v>
      </c>
    </row>
    <row r="2744" ht="15.75" customHeight="1">
      <c r="A2744" s="4" t="s">
        <v>2683</v>
      </c>
      <c r="B2744" s="2" t="str">
        <f>IFERROR(__xludf.DUMMYFUNCTION("GOOGLETRANSLATE(A2744, ""de"", ""uk"")"),"Цей проект буде дуже дорогим.")</f>
        <v>Цей проект буде дуже дорогим.</v>
      </c>
    </row>
    <row r="2745" ht="15.75" customHeight="1">
      <c r="A2745" s="4" t="s">
        <v>2684</v>
      </c>
      <c r="B2745" s="2" t="str">
        <f>IFERROR(__xludf.DUMMYFUNCTION("GOOGLETRANSLATE(A2745, ""de"", ""uk"")"),"Чи є у вас вимоги до цієї роботи?")</f>
        <v>Чи є у вас вимоги до цієї роботи?</v>
      </c>
    </row>
    <row r="2746" ht="15.75" customHeight="1">
      <c r="A2746" s="4" t="s">
        <v>2685</v>
      </c>
      <c r="B2746" s="2" t="str">
        <f>IFERROR(__xludf.DUMMYFUNCTION("GOOGLETRANSLATE(A2746, ""de"", ""uk"")"),"Чи потрібна підготовка до тесту?")</f>
        <v>Чи потрібна підготовка до тесту?</v>
      </c>
    </row>
    <row r="2747" ht="15.75" customHeight="1">
      <c r="A2747" s="4" t="s">
        <v>2686</v>
      </c>
      <c r="B2747" s="2" t="str">
        <f>IFERROR(__xludf.DUMMYFUNCTION("GOOGLETRANSLATE(A2747, ""de"", ""uk"")"),"Ми зараз проводимо інтерв'ю.")</f>
        <v>Ми зараз проводимо інтерв'ю.</v>
      </c>
    </row>
    <row r="2748" ht="15.75" customHeight="1">
      <c r="A2748" s="4" t="s">
        <v>2687</v>
      </c>
      <c r="B2748" s="2" t="str">
        <f>IFERROR(__xludf.DUMMYFUNCTION("GOOGLETRANSLATE(A2748, ""de"", ""uk"")"),"На роботі харчуюся в їдальні.")</f>
        <v>На роботі харчуюся в їдальні.</v>
      </c>
    </row>
    <row r="2749" ht="15.75" customHeight="1">
      <c r="A2749" s="4" t="s">
        <v>2688</v>
      </c>
      <c r="B2749" s="2" t="str">
        <f>IFERROR(__xludf.DUMMYFUNCTION("GOOGLETRANSLATE(A2749, ""de"", ""uk"")"),"Команда дійсно надійна.")</f>
        <v>Команда дійсно надійна.</v>
      </c>
    </row>
    <row r="2750" ht="15.75" customHeight="1">
      <c r="A2750" s="4" t="s">
        <v>2689</v>
      </c>
      <c r="B2750" s="2" t="str">
        <f>IFERROR(__xludf.DUMMYFUNCTION("GOOGLETRANSLATE(A2750, ""de"", ""uk"")"),"Ви повинні працювати не менше п'яти годин понаднормово на місяць.")</f>
        <v>Ви повинні працювати не менше п'яти годин понаднормово на місяць.</v>
      </c>
    </row>
    <row r="2751" ht="15.75" customHeight="1">
      <c r="A2751" s="4" t="s">
        <v>2690</v>
      </c>
      <c r="B2751" s="2" t="str">
        <f>IFERROR(__xludf.DUMMYFUNCTION("GOOGLETRANSLATE(A2751, ""de"", ""uk"")"),"На жаль, я не досяг успіху.")</f>
        <v>На жаль, я не досяг успіху.</v>
      </c>
    </row>
    <row r="2752" ht="15.75" customHeight="1">
      <c r="A2752" s="4" t="s">
        <v>2691</v>
      </c>
      <c r="B2752" s="2" t="str">
        <f>IFERROR(__xludf.DUMMYFUNCTION("GOOGLETRANSLATE(A2752, ""de"", ""uk"")"),"Скільки вакансій у вас є?")</f>
        <v>Скільки вакансій у вас є?</v>
      </c>
    </row>
    <row r="2753" ht="15.75" customHeight="1">
      <c r="A2753" s="4" t="s">
        <v>2692</v>
      </c>
      <c r="B2753" s="2" t="str">
        <f>IFERROR(__xludf.DUMMYFUNCTION("GOOGLETRANSLATE(A2753, ""de"", ""uk"")"),"Мені не потрібні працівники.")</f>
        <v>Мені не потрібні працівники.</v>
      </c>
    </row>
    <row r="2754" ht="15.75" customHeight="1">
      <c r="A2754" s="4" t="s">
        <v>2693</v>
      </c>
      <c r="B2754" s="2" t="str">
        <f>IFERROR(__xludf.DUMMYFUNCTION("GOOGLETRANSLATE(A2754, ""de"", ""uk"")"),"Пожежна частина приїжджає дуже швидко.")</f>
        <v>Пожежна частина приїжджає дуже швидко.</v>
      </c>
    </row>
    <row r="2755" ht="15.75" customHeight="1">
      <c r="A2755" s="4" t="s">
        <v>2694</v>
      </c>
      <c r="B2755" s="2" t="str">
        <f>IFERROR(__xludf.DUMMYFUNCTION("GOOGLETRANSLATE(A2755, ""de"", ""uk"")"),"Пунктуальність дуже важлива.")</f>
        <v>Пунктуальність дуже важлива.</v>
      </c>
    </row>
    <row r="2756" ht="15.75" customHeight="1">
      <c r="A2756" s="4" t="s">
        <v>2695</v>
      </c>
      <c r="B2756" s="2" t="str">
        <f>IFERROR(__xludf.DUMMYFUNCTION("GOOGLETRANSLATE(A2756, ""de"", ""uk"")"),"Хороша освіта - велика перевага.")</f>
        <v>Хороша освіта - велика перевага.</v>
      </c>
    </row>
    <row r="2757" ht="15.75" customHeight="1">
      <c r="A2757" s="4" t="s">
        <v>2696</v>
      </c>
      <c r="B2757" s="2" t="str">
        <f>IFERROR(__xludf.DUMMYFUNCTION("GOOGLETRANSLATE(A2757, ""de"", ""uk"")"),"Чи мають вони професійну підготовку?")</f>
        <v>Чи мають вони професійну підготовку?</v>
      </c>
    </row>
    <row r="2758" ht="15.75" customHeight="1">
      <c r="A2758" s="4" t="s">
        <v>2697</v>
      </c>
      <c r="B2758" s="2" t="str">
        <f>IFERROR(__xludf.DUMMYFUNCTION("GOOGLETRANSLATE(A2758, ""de"", ""uk"")"),"Ще потрібні люди для розширення готелю.")</f>
        <v>Ще потрібні люди для розширення готелю.</v>
      </c>
    </row>
    <row r="2759" ht="15.75" customHeight="1">
      <c r="A2759" s="4" t="s">
        <v>2698</v>
      </c>
      <c r="B2759" s="2" t="str">
        <f>IFERROR(__xludf.DUMMYFUNCTION("GOOGLETRANSLATE(A2759, ""de"", ""uk"")"),"В якій сфері ви працювали?")</f>
        <v>В якій сфері ви працювали?</v>
      </c>
    </row>
    <row r="2760" ht="15.75" customHeight="1">
      <c r="A2760" s="4" t="s">
        <v>2699</v>
      </c>
      <c r="B2760" s="2" t="str">
        <f>IFERROR(__xludf.DUMMYFUNCTION("GOOGLETRANSLATE(A2760, ""de"", ""uk"")"),"Я не хочу працювати в цій компанії.")</f>
        <v>Я не хочу працювати в цій компанії.</v>
      </c>
    </row>
    <row r="2761" ht="15.75" customHeight="1">
      <c r="A2761" s="4" t="s">
        <v>2700</v>
      </c>
      <c r="B2761" s="2" t="str">
        <f>IFERROR(__xludf.DUMMYFUNCTION("GOOGLETRANSLATE(A2761, ""de"", ""uk"")"),"Оплата дуже погана.")</f>
        <v>Оплата дуже погана.</v>
      </c>
    </row>
    <row r="2762" ht="15.75" customHeight="1">
      <c r="A2762" s="4" t="s">
        <v>2701</v>
      </c>
      <c r="B2762" s="2" t="str">
        <f>IFERROR(__xludf.DUMMYFUNCTION("GOOGLETRANSLATE(A2762, ""de"", ""uk"")"),"Я зараз працюю в книжковому магазині.")</f>
        <v>Я зараз працюю в книжковому магазині.</v>
      </c>
    </row>
    <row r="2763" ht="15.75" customHeight="1">
      <c r="A2763" s="4" t="s">
        <v>2702</v>
      </c>
      <c r="B2763" s="2" t="str">
        <f>IFERROR(__xludf.DUMMYFUNCTION("GOOGLETRANSLATE(A2763, ""de"", ""uk"")"),"Я завжди дуже привітно зустрічаю директора.")</f>
        <v>Я завжди дуже привітно зустрічаю директора.</v>
      </c>
    </row>
    <row r="2764" ht="15.75" customHeight="1">
      <c r="A2764" s="4" t="s">
        <v>2703</v>
      </c>
      <c r="B2764" s="2" t="str">
        <f>IFERROR(__xludf.DUMMYFUNCTION("GOOGLETRANSLATE(A2764, ""de"", ""uk"")"),"Я інженер.")</f>
        <v>Я інженер.</v>
      </c>
    </row>
    <row r="2765" ht="15.75" customHeight="1">
      <c r="A2765" s="4" t="s">
        <v>2704</v>
      </c>
      <c r="B2765" s="2" t="str">
        <f>IFERROR(__xludf.DUMMYFUNCTION("GOOGLETRANSLATE(A2765, ""de"", ""uk"")"),"Він співробітник великої компанії.")</f>
        <v>Він співробітник великої компанії.</v>
      </c>
    </row>
    <row r="2766" ht="15.75" customHeight="1">
      <c r="A2766" s="4" t="s">
        <v>2705</v>
      </c>
      <c r="B2766" s="2" t="str">
        <f>IFERROR(__xludf.DUMMYFUNCTION("GOOGLETRANSLATE(A2766, ""de"", ""uk"")"),"Ви вже надіслали нам заявку?")</f>
        <v>Ви вже надіслали нам заявку?</v>
      </c>
    </row>
    <row r="2767" ht="15.75" customHeight="1">
      <c r="A2767" s="4" t="s">
        <v>2706</v>
      </c>
      <c r="B2767" s="2" t="str">
        <f>IFERROR(__xludf.DUMMYFUNCTION("GOOGLETRANSLATE(A2767, ""de"", ""uk"")"),"Яка твоя професія?")</f>
        <v>Яка твоя професія?</v>
      </c>
    </row>
    <row r="2768" ht="15.75" customHeight="1">
      <c r="A2768" s="4" t="s">
        <v>2707</v>
      </c>
      <c r="B2768" s="2" t="str">
        <f>IFERROR(__xludf.DUMMYFUNCTION("GOOGLETRANSLATE(A2768, ""de"", ""uk"")"),"Вам потрібен хороший адвокат.")</f>
        <v>Вам потрібен хороший адвокат.</v>
      </c>
    </row>
    <row r="2769" ht="15.75" customHeight="1">
      <c r="A2769" s="4" t="s">
        <v>2708</v>
      </c>
      <c r="B2769" s="2" t="str">
        <f>IFERROR(__xludf.DUMMYFUNCTION("GOOGLETRANSLATE(A2769, ""de"", ""uk"")"),"Скільки в них працівників?")</f>
        <v>Скільки в них працівників?</v>
      </c>
    </row>
    <row r="2770" ht="15.75" customHeight="1">
      <c r="A2770" s="4" t="s">
        <v>2709</v>
      </c>
      <c r="B2770" s="2" t="str">
        <f>IFERROR(__xludf.DUMMYFUNCTION("GOOGLETRANSLATE(A2770, ""de"", ""uk"")"),"Пекар має рано вставати.")</f>
        <v>Пекар має рано вставати.</v>
      </c>
    </row>
    <row r="2771" ht="15.75" customHeight="1">
      <c r="A2771" s="4" t="s">
        <v>2710</v>
      </c>
      <c r="B2771" s="2" t="str">
        <f>IFERROR(__xludf.DUMMYFUNCTION("GOOGLETRANSLATE(A2771, ""de"", ""uk"")"),"Я не фермер, я садівник.")</f>
        <v>Я не фермер, я садівник.</v>
      </c>
    </row>
    <row r="2772" ht="15.75" customHeight="1">
      <c r="A2772" s="4" t="s">
        <v>2711</v>
      </c>
      <c r="B2772" s="2" t="str">
        <f>IFERROR(__xludf.DUMMYFUNCTION("GOOGLETRANSLATE(A2772, ""de"", ""uk"")"),"Листоноша завжди приходить вчасно.")</f>
        <v>Листоноша завжди приходить вчасно.</v>
      </c>
    </row>
    <row r="2773" ht="15.75" customHeight="1">
      <c r="A2773" s="4" t="s">
        <v>2712</v>
      </c>
      <c r="B2773" s="2" t="str">
        <f>IFERROR(__xludf.DUMMYFUNCTION("GOOGLETRANSLATE(A2773, ""de"", ""uk"")"),"Треба викликати електрика.")</f>
        <v>Треба викликати електрика.</v>
      </c>
    </row>
    <row r="2774" ht="15.75" customHeight="1">
      <c r="A2774" s="4" t="s">
        <v>2713</v>
      </c>
      <c r="B2774" s="2" t="str">
        <f>IFERROR(__xludf.DUMMYFUNCTION("GOOGLETRANSLATE(A2774, ""de"", ""uk"")"),"Зараз я піду до м’ясника і принесу нам два шніцелі.")</f>
        <v>Зараз я піду до м’ясника і принесу нам два шніцелі.</v>
      </c>
    </row>
    <row r="2775" ht="15.75" customHeight="1">
      <c r="A2775" s="4" t="s">
        <v>2714</v>
      </c>
      <c r="B2775" s="2" t="str">
        <f>IFERROR(__xludf.DUMMYFUNCTION("GOOGLETRANSLATE(A2775, ""de"", ""uk"")"),"Це завжди садівник.")</f>
        <v>Це завжди садівник.</v>
      </c>
    </row>
    <row r="2776" ht="15.75" customHeight="1">
      <c r="A2776" s="4" t="s">
        <v>2715</v>
      </c>
      <c r="B2776" s="2" t="str">
        <f>IFERROR(__xludf.DUMMYFUNCTION("GOOGLETRANSLATE(A2776, ""de"", ""uk"")"),"За професією я домогосподарка.")</f>
        <v>За професією я домогосподарка.</v>
      </c>
    </row>
    <row r="2777" ht="15.75" customHeight="1">
      <c r="A2777" s="4" t="s">
        <v>2716</v>
      </c>
      <c r="B2777" s="2" t="str">
        <f>IFERROR(__xludf.DUMMYFUNCTION("GOOGLETRANSLATE(A2777, ""de"", ""uk"")"),"Ви повинні поговорити з доглядачем.")</f>
        <v>Ви повинні поговорити з доглядачем.</v>
      </c>
    </row>
    <row r="2778" ht="15.75" customHeight="1">
      <c r="A2778" s="4" t="s">
        <v>2717</v>
      </c>
      <c r="B2778" s="2" t="str">
        <f>IFERROR(__xludf.DUMMYFUNCTION("GOOGLETRANSLATE(A2778, ""de"", ""uk"")"),"Сантехнік полагодив унітаз.")</f>
        <v>Сантехнік полагодив унітаз.</v>
      </c>
    </row>
    <row r="2779" ht="15.75" customHeight="1">
      <c r="A2779" s="4" t="s">
        <v>2718</v>
      </c>
      <c r="B2779" s="2" t="str">
        <f>IFERROR(__xludf.DUMMYFUNCTION("GOOGLETRANSLATE(A2779, ""de"", ""uk"")"),"В ресторані працює шеф-кухар.")</f>
        <v>В ресторані працює шеф-кухар.</v>
      </c>
    </row>
    <row r="2780" ht="15.75" customHeight="1">
      <c r="A2780" s="4" t="s">
        <v>2719</v>
      </c>
      <c r="B2780" s="2" t="str">
        <f>IFERROR(__xludf.DUMMYFUNCTION("GOOGLETRANSLATE(A2780, ""de"", ""uk"")"),"Маляр розписує стіну.")</f>
        <v>Маляр розписує стіну.</v>
      </c>
    </row>
    <row r="2781" ht="15.75" customHeight="1">
      <c r="A2781" s="4" t="s">
        <v>2720</v>
      </c>
      <c r="B2781" s="2" t="str">
        <f>IFERROR(__xludf.DUMMYFUNCTION("GOOGLETRANSLATE(A2781, ""de"", ""uk"")"),"За фахом я муляр.")</f>
        <v>За фахом я муляр.</v>
      </c>
    </row>
    <row r="2782" ht="15.75" customHeight="1">
      <c r="A2782" s="4" t="s">
        <v>2721</v>
      </c>
      <c r="B2782" s="2" t="str">
        <f>IFERROR(__xludf.DUMMYFUNCTION("GOOGLETRANSLATE(A2782, ""de"", ""uk"")"),"Чи може механік ремонтувати автомобілі?")</f>
        <v>Чи може механік ремонтувати автомобілі?</v>
      </c>
    </row>
    <row r="2783" ht="15.75" customHeight="1">
      <c r="A2783" s="4" t="s">
        <v>2722</v>
      </c>
      <c r="B2783" s="2" t="str">
        <f>IFERROR(__xludf.DUMMYFUNCTION("GOOGLETRANSLATE(A2783, ""de"", ""uk"")"),"Міліціонер не хотів мені допомагати.")</f>
        <v>Міліціонер не хотів мені допомагати.</v>
      </c>
    </row>
    <row r="2784" ht="15.75" customHeight="1">
      <c r="A2784" s="4" t="s">
        <v>2723</v>
      </c>
      <c r="B2784" s="2" t="str">
        <f>IFERROR(__xludf.DUMMYFUNCTION("GOOGLETRANSLATE(A2784, ""de"", ""uk"")"),"Я йду до кравця з розбитими штанцями.")</f>
        <v>Я йду до кравця з розбитими штанцями.</v>
      </c>
    </row>
    <row r="2785" ht="15.75" customHeight="1">
      <c r="A2785" s="4" t="s">
        <v>2724</v>
      </c>
      <c r="B2785" s="2" t="str">
        <f>IFERROR(__xludf.DUMMYFUNCTION("GOOGLETRANSLATE(A2785, ""de"", ""uk"")"),"Будь ласка, подзвоніть моєму секретарю.")</f>
        <v>Будь ласка, подзвоніть моєму секретарю.</v>
      </c>
    </row>
    <row r="2786" ht="15.75" customHeight="1">
      <c r="A2786" s="4" t="s">
        <v>2725</v>
      </c>
      <c r="B2786" s="2" t="str">
        <f>IFERROR(__xludf.DUMMYFUNCTION("GOOGLETRANSLATE(A2786, ""de"", ""uk"")"),"Яку роль вони тут відіграють?")</f>
        <v>Яку роль вони тут відіграють?</v>
      </c>
    </row>
    <row r="2787" ht="15.75" customHeight="1">
      <c r="A2787" s="4" t="s">
        <v>2726</v>
      </c>
      <c r="B2787" s="2" t="str">
        <f>IFERROR(__xludf.DUMMYFUNCTION("GOOGLETRANSLATE(A2787, ""de"", ""uk"")"),"Чи можемо ми поговорити про мою зарплату?")</f>
        <v>Чи можемо ми поговорити про мою зарплату?</v>
      </c>
    </row>
    <row r="2788" ht="15.75" customHeight="1">
      <c r="A2788" s="4" t="s">
        <v>2727</v>
      </c>
      <c r="B2788" s="2" t="str">
        <f>IFERROR(__xludf.DUMMYFUNCTION("GOOGLETRANSLATE(A2788, ""de"", ""uk"")"),"Це дійсно хороша робота.")</f>
        <v>Це дійсно хороша робота.</v>
      </c>
    </row>
    <row r="2789" ht="15.75" customHeight="1">
      <c r="A2789" s="4" t="s">
        <v>2728</v>
      </c>
      <c r="B2789" s="2" t="str">
        <f>IFERROR(__xludf.DUMMYFUNCTION("GOOGLETRANSLATE(A2789, ""de"", ""uk"")"),"Я художник, а не робітник.")</f>
        <v>Я художник, а не робітник.</v>
      </c>
    </row>
    <row r="2790" ht="15.75" customHeight="1">
      <c r="A2790" s="4" t="s">
        <v>2729</v>
      </c>
      <c r="B2790" s="2" t="str">
        <f>IFERROR(__xludf.DUMMYFUNCTION("GOOGLETRANSLATE(A2790, ""de"", ""uk"")"),"Він майстер своєї справи.")</f>
        <v>Він майстер своєї справи.</v>
      </c>
    </row>
    <row r="2791" ht="15.75" customHeight="1">
      <c r="A2791" s="4" t="s">
        <v>2730</v>
      </c>
      <c r="B2791" s="2" t="str">
        <f>IFERROR(__xludf.DUMMYFUNCTION("GOOGLETRANSLATE(A2791, ""de"", ""uk"")"),"У політиків забагато грошей.")</f>
        <v>У політиків забагато грошей.</v>
      </c>
    </row>
    <row r="2792" ht="15.75" customHeight="1">
      <c r="A2792" s="4" t="s">
        <v>2731</v>
      </c>
      <c r="B2792" s="2" t="str">
        <f>IFERROR(__xludf.DUMMYFUNCTION("GOOGLETRANSLATE(A2792, ""de"", ""uk"")"),"У співаків завжди бракує грошей.")</f>
        <v>У співаків завжди бракує грошей.</v>
      </c>
    </row>
    <row r="2793" ht="15.75" customHeight="1">
      <c r="A2793" s="4" t="s">
        <v>2732</v>
      </c>
      <c r="B2793" s="2" t="str">
        <f>IFERROR(__xludf.DUMMYFUNCTION("GOOGLETRANSLATE(A2793, ""de"", ""uk"")"),"Сьогодні я втратив роботу.")</f>
        <v>Сьогодні я втратив роботу.</v>
      </c>
    </row>
    <row r="2794" ht="15.75" customHeight="1">
      <c r="A2794" s="4" t="s">
        <v>2733</v>
      </c>
      <c r="B2794" s="2" t="str">
        <f>IFERROR(__xludf.DUMMYFUNCTION("GOOGLETRANSLATE(A2794, ""de"", ""uk"")"),"Чому б спочатку не пройти стажування у нас?")</f>
        <v>Чому б спочатку не пройти стажування у нас?</v>
      </c>
    </row>
    <row r="2795" ht="15.75" customHeight="1">
      <c r="A2795" s="4" t="s">
        <v>2734</v>
      </c>
      <c r="B2795" s="2" t="str">
        <f>IFERROR(__xludf.DUMMYFUNCTION("GOOGLETRANSLATE(A2795, ""de"", ""uk"")"),"У мене сьогодні вихідний і мені не потрібно працювати.")</f>
        <v>У мене сьогодні вихідний і мені не потрібно працювати.</v>
      </c>
    </row>
    <row r="2796" ht="15.75" customHeight="1">
      <c r="A2796" s="4" t="s">
        <v>2735</v>
      </c>
      <c r="B2796" s="2" t="str">
        <f>IFERROR(__xludf.DUMMYFUNCTION("GOOGLETRANSLATE(A2796, ""de"", ""uk"")"),"Кожен отримує рівну суму.")</f>
        <v>Кожен отримує рівну суму.</v>
      </c>
    </row>
    <row r="2797" ht="15.75" customHeight="1">
      <c r="A2797" s="4" t="s">
        <v>2736</v>
      </c>
      <c r="B2797" s="2" t="str">
        <f>IFERROR(__xludf.DUMMYFUNCTION("GOOGLETRANSLATE(A2797, ""de"", ""uk"")"),"Нам потрібні надійні працівники.")</f>
        <v>Нам потрібні надійні працівники.</v>
      </c>
    </row>
    <row r="2798" ht="15.75" customHeight="1">
      <c r="A2798" s="4" t="s">
        <v>2737</v>
      </c>
      <c r="B2798" s="2" t="str">
        <f>IFERROR(__xludf.DUMMYFUNCTION("GOOGLETRANSLATE(A2798, ""de"", ""uk"")"),"Ваша дочка дуже працьовита.")</f>
        <v>Ваша дочка дуже працьовита.</v>
      </c>
    </row>
    <row r="2799" ht="15.75" customHeight="1">
      <c r="A2799" s="4" t="s">
        <v>2738</v>
      </c>
      <c r="B2799" s="2" t="str">
        <f>IFERROR(__xludf.DUMMYFUNCTION("GOOGLETRANSLATE(A2799, ""de"", ""uk"")"),"Це тут не часто?")</f>
        <v>Це тут не часто?</v>
      </c>
    </row>
    <row r="2800" ht="15.75" customHeight="1">
      <c r="A2800" s="4" t="s">
        <v>2739</v>
      </c>
      <c r="B2800" s="2" t="str">
        <f>IFERROR(__xludf.DUMMYFUNCTION("GOOGLETRANSLATE(A2800, ""de"", ""uk"")"),"Ваші умови не ідеальні.")</f>
        <v>Ваші умови не ідеальні.</v>
      </c>
    </row>
    <row r="2801" ht="15.75" customHeight="1">
      <c r="A2801" s="4" t="s">
        <v>2740</v>
      </c>
      <c r="B2801" s="2" t="str">
        <f>IFERROR(__xludf.DUMMYFUNCTION("GOOGLETRANSLATE(A2801, ""de"", ""uk"")"),"Скільки я отримаю нетто?")</f>
        <v>Скільки я отримаю нетто?</v>
      </c>
    </row>
    <row r="2802" ht="15.75" customHeight="1">
      <c r="A2802" s="4" t="s">
        <v>2741</v>
      </c>
      <c r="B2802" s="2" t="str">
        <f>IFERROR(__xludf.DUMMYFUNCTION("GOOGLETRANSLATE(A2802, ""de"", ""uk"")"),"Я вже два роки як безробітний.")</f>
        <v>Я вже два роки як безробітний.</v>
      </c>
    </row>
    <row r="2803" ht="15.75" customHeight="1">
      <c r="A2803" s="4" t="s">
        <v>2742</v>
      </c>
      <c r="B2803" s="2" t="str">
        <f>IFERROR(__xludf.DUMMYFUNCTION("GOOGLETRANSLATE(A2803, ""de"", ""uk"")"),"Я отримую тисячу євро брутто.")</f>
        <v>Я отримую тисячу євро брутто.</v>
      </c>
    </row>
    <row r="2804" ht="15.75" customHeight="1">
      <c r="A2804" s="1" t="s">
        <v>2743</v>
      </c>
      <c r="B2804" s="2" t="str">
        <f>IFERROR(__xludf.DUMMYFUNCTION("GOOGLETRANSLATE(A2804, ""de"", ""uk"")"),"напрямок компаса")</f>
        <v>напрямок компаса</v>
      </c>
    </row>
    <row r="2805" ht="15.75" customHeight="1">
      <c r="A2805" s="1" t="s">
        <v>2744</v>
      </c>
      <c r="B2805" s="2" t="str">
        <f>IFERROR(__xludf.DUMMYFUNCTION("GOOGLETRANSLATE(A2805, ""de"", ""uk"")"),"північ")</f>
        <v>північ</v>
      </c>
    </row>
    <row r="2806" ht="15.75" customHeight="1">
      <c r="A2806" s="1" t="s">
        <v>2745</v>
      </c>
      <c r="B2806" s="2" t="str">
        <f>IFERROR(__xludf.DUMMYFUNCTION("GOOGLETRANSLATE(A2806, ""de"", ""uk"")"),"Захід")</f>
        <v>Захід</v>
      </c>
    </row>
    <row r="2807" ht="15.75" customHeight="1">
      <c r="A2807" s="1" t="s">
        <v>2746</v>
      </c>
      <c r="B2807" s="2" t="str">
        <f>IFERROR(__xludf.DUMMYFUNCTION("GOOGLETRANSLATE(A2807, ""de"", ""uk"")"),"схід")</f>
        <v>схід</v>
      </c>
    </row>
    <row r="2808" ht="15.75" customHeight="1">
      <c r="A2808" s="1" t="s">
        <v>2747</v>
      </c>
      <c r="B2808" s="2" t="str">
        <f>IFERROR(__xludf.DUMMYFUNCTION("GOOGLETRANSLATE(A2808, ""de"", ""uk"")"),"південь")</f>
        <v>південь</v>
      </c>
    </row>
    <row r="2809" ht="15.75" customHeight="1">
      <c r="A2809" s="1" t="s">
        <v>2748</v>
      </c>
      <c r="B2809" s="2" t="str">
        <f>IFERROR(__xludf.DUMMYFUNCTION("GOOGLETRANSLATE(A2809, ""de"", ""uk"")"),"небо")</f>
        <v>небо</v>
      </c>
    </row>
    <row r="2810" ht="15.75" customHeight="1">
      <c r="A2810" s="1" t="s">
        <v>2749</v>
      </c>
      <c r="B2810" s="2" t="str">
        <f>IFERROR(__xludf.DUMMYFUNCTION("GOOGLETRANSLATE(A2810, ""de"", ""uk"")"),"хмара")</f>
        <v>хмара</v>
      </c>
    </row>
    <row r="2811" ht="15.75" customHeight="1">
      <c r="A2811" s="1" t="s">
        <v>2750</v>
      </c>
      <c r="B2811" s="2" t="str">
        <f>IFERROR(__xludf.DUMMYFUNCTION("GOOGLETRANSLATE(A2811, ""de"", ""uk"")"),"місяць")</f>
        <v>місяць</v>
      </c>
    </row>
    <row r="2812" ht="15.75" customHeight="1">
      <c r="A2812" s="1" t="s">
        <v>2751</v>
      </c>
      <c r="B2812" s="2" t="str">
        <f>IFERROR(__xludf.DUMMYFUNCTION("GOOGLETRANSLATE(A2812, ""de"", ""uk"")"),"зірка")</f>
        <v>зірка</v>
      </c>
    </row>
    <row r="2813" ht="15.75" customHeight="1">
      <c r="A2813" s="1" t="s">
        <v>2752</v>
      </c>
      <c r="B2813" s="2" t="str">
        <f>IFERROR(__xludf.DUMMYFUNCTION("GOOGLETRANSLATE(A2813, ""de"", ""uk"")"),"планета")</f>
        <v>планета</v>
      </c>
    </row>
    <row r="2814" ht="15.75" customHeight="1">
      <c r="A2814" s="1" t="s">
        <v>2753</v>
      </c>
      <c r="B2814" s="2" t="str">
        <f>IFERROR(__xludf.DUMMYFUNCTION("GOOGLETRANSLATE(A2814, ""de"", ""uk"")"),"земля")</f>
        <v>земля</v>
      </c>
    </row>
    <row r="2815" ht="15.75" customHeight="1">
      <c r="A2815" s="1" t="s">
        <v>2754</v>
      </c>
      <c r="B2815" s="2" t="str">
        <f>IFERROR(__xludf.DUMMYFUNCTION("GOOGLETRANSLATE(A2815, ""de"", ""uk"")"),"погода")</f>
        <v>погода</v>
      </c>
    </row>
    <row r="2816" ht="15.75" customHeight="1">
      <c r="A2816" s="1" t="s">
        <v>2755</v>
      </c>
      <c r="B2816" s="2" t="str">
        <f>IFERROR(__xludf.DUMMYFUNCTION("GOOGLETRANSLATE(A2816, ""de"", ""uk"")"),"сонце")</f>
        <v>сонце</v>
      </c>
    </row>
    <row r="2817" ht="15.75" customHeight="1">
      <c r="A2817" s="1" t="s">
        <v>2756</v>
      </c>
      <c r="B2817" s="2" t="str">
        <f>IFERROR(__xludf.DUMMYFUNCTION("GOOGLETRANSLATE(A2817, ""de"", ""uk"")"),"дощ")</f>
        <v>дощ</v>
      </c>
    </row>
    <row r="2818" ht="15.75" customHeight="1">
      <c r="A2818" s="1" t="s">
        <v>2757</v>
      </c>
      <c r="B2818" s="2" t="str">
        <f>IFERROR(__xludf.DUMMYFUNCTION("GOOGLETRANSLATE(A2818, ""de"", ""uk"")"),"туман")</f>
        <v>туман</v>
      </c>
    </row>
    <row r="2819" ht="15.75" customHeight="1">
      <c r="A2819" s="1" t="s">
        <v>2758</v>
      </c>
      <c r="B2819" s="2" t="str">
        <f>IFERROR(__xludf.DUMMYFUNCTION("GOOGLETRANSLATE(A2819, ""de"", ""uk"")"),"сніг")</f>
        <v>сніг</v>
      </c>
    </row>
    <row r="2820" ht="15.75" customHeight="1">
      <c r="A2820" s="1" t="s">
        <v>2759</v>
      </c>
      <c r="B2820" s="2" t="str">
        <f>IFERROR(__xludf.DUMMYFUNCTION("GOOGLETRANSLATE(A2820, ""de"", ""uk"")"),"вітер")</f>
        <v>вітер</v>
      </c>
    </row>
    <row r="2821" ht="15.75" customHeight="1">
      <c r="A2821" s="1" t="s">
        <v>2760</v>
      </c>
      <c r="B2821" s="2" t="str">
        <f>IFERROR(__xludf.DUMMYFUNCTION("GOOGLETRANSLATE(A2821, ""de"", ""uk"")"),"шторм")</f>
        <v>шторм</v>
      </c>
    </row>
    <row r="2822" ht="15.75" customHeight="1">
      <c r="A2822" s="1" t="s">
        <v>2761</v>
      </c>
      <c r="B2822" s="2" t="str">
        <f>IFERROR(__xludf.DUMMYFUNCTION("GOOGLETRANSLATE(A2822, ""de"", ""uk"")"),"гроза")</f>
        <v>гроза</v>
      </c>
    </row>
    <row r="2823" ht="15.75" customHeight="1">
      <c r="A2823" s="1" t="s">
        <v>2762</v>
      </c>
      <c r="B2823" s="2" t="str">
        <f>IFERROR(__xludf.DUMMYFUNCTION("GOOGLETRANSLATE(A2823, ""de"", ""uk"")"),"блискавка")</f>
        <v>блискавка</v>
      </c>
    </row>
    <row r="2824" ht="15.75" customHeight="1">
      <c r="A2824" s="1" t="s">
        <v>2763</v>
      </c>
      <c r="B2824" s="2" t="str">
        <f>IFERROR(__xludf.DUMMYFUNCTION("GOOGLETRANSLATE(A2824, ""de"", ""uk"")"),"град")</f>
        <v>град</v>
      </c>
    </row>
    <row r="2825" ht="15.75" customHeight="1">
      <c r="A2825" s="1" t="s">
        <v>574</v>
      </c>
      <c r="B2825" s="2" t="str">
        <f>IFERROR(__xludf.DUMMYFUNCTION("GOOGLETRANSLATE(A2825, ""de"", ""uk"")"),"морозиво")</f>
        <v>морозиво</v>
      </c>
    </row>
    <row r="2826" ht="15.75" customHeight="1">
      <c r="A2826" s="1" t="s">
        <v>2764</v>
      </c>
      <c r="B2826" s="2" t="str">
        <f>IFERROR(__xludf.DUMMYFUNCTION("GOOGLETRANSLATE(A2826, ""de"", ""uk"")"),"повітря")</f>
        <v>повітря</v>
      </c>
    </row>
    <row r="2827" ht="15.75" customHeight="1">
      <c r="A2827" s="1" t="s">
        <v>2765</v>
      </c>
      <c r="B2827" s="2" t="str">
        <f>IFERROR(__xludf.DUMMYFUNCTION("GOOGLETRANSLATE(A2827, ""de"", ""uk"")"),"падіння")</f>
        <v>падіння</v>
      </c>
    </row>
    <row r="2828" ht="15.75" customHeight="1">
      <c r="A2828" s="1" t="s">
        <v>2766</v>
      </c>
      <c r="B2828" s="2" t="str">
        <f>IFERROR(__xludf.DUMMYFUNCTION("GOOGLETRANSLATE(A2828, ""de"", ""uk"")"),"парасолька")</f>
        <v>парасолька</v>
      </c>
    </row>
    <row r="2829" ht="15.75" customHeight="1">
      <c r="A2829" s="1" t="s">
        <v>2767</v>
      </c>
      <c r="B2829" s="2" t="str">
        <f>IFERROR(__xludf.DUMMYFUNCTION("GOOGLETRANSLATE(A2829, ""de"", ""uk"")"),"подивіться")</f>
        <v>подивіться</v>
      </c>
    </row>
    <row r="2830" ht="15.75" customHeight="1">
      <c r="A2830" s="1" t="s">
        <v>2768</v>
      </c>
      <c r="B2830" s="2" t="str">
        <f>IFERROR(__xludf.DUMMYFUNCTION("GOOGLETRANSLATE(A2830, ""de"", ""uk"")"),"наливати")</f>
        <v>наливати</v>
      </c>
    </row>
    <row r="2831" ht="15.75" customHeight="1">
      <c r="A2831" s="1" t="s">
        <v>2769</v>
      </c>
      <c r="B2831" s="2" t="str">
        <f>IFERROR(__xludf.DUMMYFUNCTION("GOOGLETRANSLATE(A2831, ""de"", ""uk"")"),"гарячий")</f>
        <v>гарячий</v>
      </c>
    </row>
    <row r="2832" ht="15.75" customHeight="1">
      <c r="A2832" s="1" t="s">
        <v>2770</v>
      </c>
      <c r="B2832" s="2" t="str">
        <f>IFERROR(__xludf.DUMMYFUNCTION("GOOGLETRANSLATE(A2832, ""de"", ""uk"")"),"мокрий")</f>
        <v>мокрий</v>
      </c>
    </row>
    <row r="2833" ht="15.75" customHeight="1">
      <c r="A2833" s="1" t="s">
        <v>2771</v>
      </c>
      <c r="B2833" s="2" t="str">
        <f>IFERROR(__xludf.DUMMYFUNCTION("GOOGLETRANSLATE(A2833, ""de"", ""uk"")"),"здається")</f>
        <v>здається</v>
      </c>
    </row>
    <row r="2834" ht="15.75" customHeight="1">
      <c r="A2834" s="1" t="s">
        <v>2772</v>
      </c>
      <c r="B2834" s="2" t="str">
        <f>IFERROR(__xludf.DUMMYFUNCTION("GOOGLETRANSLATE(A2834, ""de"", ""uk"")"),"тварини")</f>
        <v>тварини</v>
      </c>
    </row>
    <row r="2835" ht="15.75" customHeight="1">
      <c r="A2835" s="1" t="s">
        <v>2773</v>
      </c>
      <c r="B2835" s="2" t="str">
        <f>IFERROR(__xludf.DUMMYFUNCTION("GOOGLETRANSLATE(A2835, ""de"", ""uk"")"),"птах")</f>
        <v>птах</v>
      </c>
    </row>
    <row r="2836" ht="15.75" customHeight="1">
      <c r="A2836" s="1" t="s">
        <v>565</v>
      </c>
      <c r="B2836" s="2" t="str">
        <f>IFERROR(__xludf.DUMMYFUNCTION("GOOGLETRANSLATE(A2836, ""de"", ""uk"")"),"риба")</f>
        <v>риба</v>
      </c>
    </row>
    <row r="2837" ht="15.75" customHeight="1">
      <c r="A2837" s="1" t="s">
        <v>2774</v>
      </c>
      <c r="B2837" s="2" t="str">
        <f>IFERROR(__xludf.DUMMYFUNCTION("GOOGLETRANSLATE(A2837, ""de"", ""uk"")"),"комаха")</f>
        <v>комаха</v>
      </c>
    </row>
    <row r="2838" ht="15.75" customHeight="1">
      <c r="A2838" s="1" t="s">
        <v>2775</v>
      </c>
      <c r="B2838" s="2" t="str">
        <f>IFERROR(__xludf.DUMMYFUNCTION("GOOGLETRANSLATE(A2838, ""de"", ""uk"")"),"собака")</f>
        <v>собака</v>
      </c>
    </row>
    <row r="2839" ht="15.75" customHeight="1">
      <c r="A2839" s="1" t="s">
        <v>2776</v>
      </c>
      <c r="B2839" s="2" t="str">
        <f>IFERROR(__xludf.DUMMYFUNCTION("GOOGLETRANSLATE(A2839, ""de"", ""uk"")"),"кіт")</f>
        <v>кіт</v>
      </c>
    </row>
    <row r="2840" ht="15.75" customHeight="1">
      <c r="A2840" s="1" t="s">
        <v>2777</v>
      </c>
      <c r="B2840" s="2" t="str">
        <f>IFERROR(__xludf.DUMMYFUNCTION("GOOGLETRANSLATE(A2840, ""de"", ""uk"")"),"свиня")</f>
        <v>свиня</v>
      </c>
    </row>
    <row r="2841" ht="15.75" customHeight="1">
      <c r="A2841" s="1" t="s">
        <v>2778</v>
      </c>
      <c r="B2841" s="2" t="str">
        <f>IFERROR(__xludf.DUMMYFUNCTION("GOOGLETRANSLATE(A2841, ""de"", ""uk"")"),"корова")</f>
        <v>корова</v>
      </c>
    </row>
    <row r="2842" ht="15.75" customHeight="1">
      <c r="A2842" s="1" t="s">
        <v>2779</v>
      </c>
      <c r="B2842" s="2" t="str">
        <f>IFERROR(__xludf.DUMMYFUNCTION("GOOGLETRANSLATE(A2842, ""de"", ""uk"")"),"вівці")</f>
        <v>вівці</v>
      </c>
    </row>
    <row r="2843" ht="15.75" customHeight="1">
      <c r="A2843" s="1" t="s">
        <v>2780</v>
      </c>
      <c r="B2843" s="2" t="str">
        <f>IFERROR(__xludf.DUMMYFUNCTION("GOOGLETRANSLATE(A2843, ""de"", ""uk"")"),"зоопарк")</f>
        <v>зоопарк</v>
      </c>
    </row>
    <row r="2844" ht="15.75" customHeight="1">
      <c r="A2844" s="1" t="s">
        <v>2781</v>
      </c>
      <c r="B2844" s="2" t="str">
        <f>IFERROR(__xludf.DUMMYFUNCTION("GOOGLETRANSLATE(A2844, ""de"", ""uk"")"),"рослина")</f>
        <v>рослина</v>
      </c>
    </row>
    <row r="2845" ht="15.75" customHeight="1">
      <c r="A2845" s="1" t="s">
        <v>2782</v>
      </c>
      <c r="B2845" s="2" t="str">
        <f>IFERROR(__xludf.DUMMYFUNCTION("GOOGLETRANSLATE(A2845, ""de"", ""uk"")"),"кущ")</f>
        <v>кущ</v>
      </c>
    </row>
    <row r="2846" ht="15.75" customHeight="1">
      <c r="A2846" s="1" t="s">
        <v>2783</v>
      </c>
      <c r="B2846" s="2" t="str">
        <f>IFERROR(__xludf.DUMMYFUNCTION("GOOGLETRANSLATE(A2846, ""de"", ""uk"")"),"бузок")</f>
        <v>бузок</v>
      </c>
    </row>
    <row r="2847" ht="15.75" customHeight="1">
      <c r="A2847" s="1" t="s">
        <v>2784</v>
      </c>
      <c r="B2847" s="2" t="str">
        <f>IFERROR(__xludf.DUMMYFUNCTION("GOOGLETRANSLATE(A2847, ""de"", ""uk"")"),"квітка")</f>
        <v>квітка</v>
      </c>
    </row>
    <row r="2848" ht="15.75" customHeight="1">
      <c r="A2848" s="1" t="s">
        <v>2785</v>
      </c>
      <c r="B2848" s="2" t="str">
        <f>IFERROR(__xludf.DUMMYFUNCTION("GOOGLETRANSLATE(A2848, ""de"", ""uk"")"),"троянда")</f>
        <v>троянда</v>
      </c>
    </row>
    <row r="2849" ht="15.75" customHeight="1">
      <c r="A2849" s="1" t="s">
        <v>2786</v>
      </c>
      <c r="B2849" s="2" t="str">
        <f>IFERROR(__xludf.DUMMYFUNCTION("GOOGLETRANSLATE(A2849, ""de"", ""uk"")"),"лілія")</f>
        <v>лілія</v>
      </c>
    </row>
    <row r="2850" ht="15.75" customHeight="1">
      <c r="A2850" s="1" t="s">
        <v>2787</v>
      </c>
      <c r="B2850" s="2" t="str">
        <f>IFERROR(__xludf.DUMMYFUNCTION("GOOGLETRANSLATE(A2850, ""de"", ""uk"")"),"дерево")</f>
        <v>дерево</v>
      </c>
    </row>
    <row r="2851" ht="15.75" customHeight="1">
      <c r="A2851" s="1" t="s">
        <v>2788</v>
      </c>
      <c r="B2851" s="2" t="str">
        <f>IFERROR(__xludf.DUMMYFUNCTION("GOOGLETRANSLATE(A2851, ""de"", ""uk"")"),"краєвид")</f>
        <v>краєвид</v>
      </c>
    </row>
    <row r="2852" ht="15.75" customHeight="1">
      <c r="A2852" s="1" t="s">
        <v>2789</v>
      </c>
      <c r="B2852" s="2" t="str">
        <f>IFERROR(__xludf.DUMMYFUNCTION("GOOGLETRANSLATE(A2852, ""de"", ""uk"")"),"гора")</f>
        <v>гора</v>
      </c>
    </row>
    <row r="2853" ht="15.75" customHeight="1">
      <c r="A2853" s="1" t="s">
        <v>2790</v>
      </c>
      <c r="B2853" s="2" t="str">
        <f>IFERROR(__xludf.DUMMYFUNCTION("GOOGLETRANSLATE(A2853, ""de"", ""uk"")"),"гори")</f>
        <v>гори</v>
      </c>
    </row>
    <row r="2854" ht="15.75" customHeight="1">
      <c r="A2854" s="1" t="s">
        <v>2791</v>
      </c>
      <c r="B2854" s="2" t="str">
        <f>IFERROR(__xludf.DUMMYFUNCTION("GOOGLETRANSLATE(A2854, ""de"", ""uk"")"),"долина")</f>
        <v>долина</v>
      </c>
    </row>
    <row r="2855" ht="15.75" customHeight="1">
      <c r="A2855" s="1" t="s">
        <v>2792</v>
      </c>
      <c r="B2855" s="2" t="str">
        <f>IFERROR(__xludf.DUMMYFUNCTION("GOOGLETRANSLATE(A2855, ""de"", ""uk"")"),"річка")</f>
        <v>річка</v>
      </c>
    </row>
    <row r="2856" ht="15.75" customHeight="1">
      <c r="A2856" s="1" t="s">
        <v>2793</v>
      </c>
      <c r="B2856" s="2" t="str">
        <f>IFERROR(__xludf.DUMMYFUNCTION("GOOGLETRANSLATE(A2856, ""de"", ""uk"")"),"озеро")</f>
        <v>озеро</v>
      </c>
    </row>
    <row r="2857" ht="15.75" customHeight="1">
      <c r="A2857" s="1" t="s">
        <v>2794</v>
      </c>
      <c r="B2857" s="2" t="str">
        <f>IFERROR(__xludf.DUMMYFUNCTION("GOOGLETRANSLATE(A2857, ""de"", ""uk"")"),"потік")</f>
        <v>потік</v>
      </c>
    </row>
    <row r="2858" ht="15.75" customHeight="1">
      <c r="A2858" s="1" t="s">
        <v>2795</v>
      </c>
      <c r="B2858" s="2" t="str">
        <f>IFERROR(__xludf.DUMMYFUNCTION("GOOGLETRANSLATE(A2858, ""de"", ""uk"")"),"ліс")</f>
        <v>ліс</v>
      </c>
    </row>
    <row r="2859" ht="15.75" customHeight="1">
      <c r="A2859" s="1" t="s">
        <v>2796</v>
      </c>
      <c r="B2859" s="2" t="str">
        <f>IFERROR(__xludf.DUMMYFUNCTION("GOOGLETRANSLATE(A2859, ""de"", ""uk"")"),"луг")</f>
        <v>луг</v>
      </c>
    </row>
    <row r="2860" ht="15.75" customHeight="1">
      <c r="A2860" s="1" t="s">
        <v>2797</v>
      </c>
      <c r="B2860" s="2" t="str">
        <f>IFERROR(__xludf.DUMMYFUNCTION("GOOGLETRANSLATE(A2860, ""de"", ""uk"")"),"поле")</f>
        <v>поле</v>
      </c>
    </row>
    <row r="2861" ht="15.75" customHeight="1">
      <c r="A2861" s="1" t="s">
        <v>2798</v>
      </c>
      <c r="B2861" s="2" t="str">
        <f>IFERROR(__xludf.DUMMYFUNCTION("GOOGLETRANSLATE(A2861, ""de"", ""uk"")"),"парк")</f>
        <v>парк</v>
      </c>
    </row>
    <row r="2862" ht="15.75" customHeight="1">
      <c r="A2862" s="1" t="s">
        <v>2799</v>
      </c>
      <c r="B2862" s="2" t="str">
        <f>IFERROR(__xludf.DUMMYFUNCTION("GOOGLETRANSLATE(A2862, ""de"", ""uk"")"),"пустеля")</f>
        <v>пустеля</v>
      </c>
    </row>
    <row r="2863" ht="15.75" customHeight="1">
      <c r="A2863" s="1" t="s">
        <v>2800</v>
      </c>
      <c r="B2863" s="2" t="str">
        <f>IFERROR(__xludf.DUMMYFUNCTION("GOOGLETRANSLATE(A2863, ""de"", ""uk"")"),"острів")</f>
        <v>острів</v>
      </c>
    </row>
    <row r="2864" ht="15.75" customHeight="1">
      <c r="A2864" s="1" t="s">
        <v>2801</v>
      </c>
      <c r="B2864" s="2" t="str">
        <f>IFERROR(__xludf.DUMMYFUNCTION("GOOGLETRANSLATE(A2864, ""de"", ""uk"")"),"море")</f>
        <v>море</v>
      </c>
    </row>
    <row r="2865" ht="15.75" customHeight="1">
      <c r="A2865" s="1" t="s">
        <v>2802</v>
      </c>
      <c r="B2865" s="2" t="str">
        <f>IFERROR(__xludf.DUMMYFUNCTION("GOOGLETRANSLATE(A2865, ""de"", ""uk"")"),"вид")</f>
        <v>вид</v>
      </c>
    </row>
    <row r="2866" ht="15.75" customHeight="1">
      <c r="A2866" s="1" t="s">
        <v>2803</v>
      </c>
      <c r="B2866" s="2" t="str">
        <f>IFERROR(__xludf.DUMMYFUNCTION("GOOGLETRANSLATE(A2866, ""de"", ""uk"")"),"палиця")</f>
        <v>палиця</v>
      </c>
    </row>
    <row r="2867" ht="15.75" customHeight="1">
      <c r="A2867" s="1" t="s">
        <v>2804</v>
      </c>
      <c r="B2867" s="2" t="str">
        <f>IFERROR(__xludf.DUMMYFUNCTION("GOOGLETRANSLATE(A2867, ""de"", ""uk"")"),"світ")</f>
        <v>світ</v>
      </c>
    </row>
    <row r="2868" ht="15.75" customHeight="1">
      <c r="A2868" s="4" t="s">
        <v>2805</v>
      </c>
      <c r="B2868" s="2" t="str">
        <f>IFERROR(__xludf.DUMMYFUNCTION("GOOGLETRANSLATE(A2868, ""de"", ""uk"")"),"В якому напрямку мені йти?")</f>
        <v>В якому напрямку мені йти?</v>
      </c>
    </row>
    <row r="2869" ht="15.75" customHeight="1">
      <c r="A2869" s="4" t="s">
        <v>2806</v>
      </c>
      <c r="B2869" s="2" t="str">
        <f>IFERROR(__xludf.DUMMYFUNCTION("GOOGLETRANSLATE(A2869, ""de"", ""uk"")"),"Треба дивитися на північ.")</f>
        <v>Треба дивитися на північ.</v>
      </c>
    </row>
    <row r="2870" ht="15.75" customHeight="1">
      <c r="A2870" s="4" t="s">
        <v>2807</v>
      </c>
      <c r="B2870" s="2" t="str">
        <f>IFERROR(__xludf.DUMMYFUNCTION("GOOGLETRANSLATE(A2870, ""de"", ""uk"")"),"Сонце сідає на заході.")</f>
        <v>Сонце сідає на заході.</v>
      </c>
    </row>
    <row r="2871" ht="15.75" customHeight="1">
      <c r="A2871" s="4" t="s">
        <v>2808</v>
      </c>
      <c r="B2871" s="2" t="str">
        <f>IFERROR(__xludf.DUMMYFUNCTION("GOOGLETRANSLATE(A2871, ""de"", ""uk"")"),"Сонце сходить на сході.")</f>
        <v>Сонце сходить на сході.</v>
      </c>
    </row>
    <row r="2872" ht="15.75" customHeight="1">
      <c r="A2872" s="4" t="s">
        <v>2809</v>
      </c>
      <c r="B2872" s="2" t="str">
        <f>IFERROR(__xludf.DUMMYFUNCTION("GOOGLETRANSLATE(A2872, ""de"", ""uk"")"),"Ми йдемо на південь.")</f>
        <v>Ми йдемо на південь.</v>
      </c>
    </row>
    <row r="2873" ht="15.75" customHeight="1">
      <c r="A2873" s="4" t="s">
        <v>2810</v>
      </c>
      <c r="B2873" s="2" t="str">
        <f>IFERROR(__xludf.DUMMYFUNCTION("GOOGLETRANSLATE(A2873, ""de"", ""uk"")"),"Небо блакитне.")</f>
        <v>Небо блакитне.</v>
      </c>
    </row>
    <row r="2874" ht="15.75" customHeight="1">
      <c r="A2874" s="4" t="s">
        <v>2811</v>
      </c>
      <c r="B2874" s="2" t="str">
        <f>IFERROR(__xludf.DUMMYFUNCTION("GOOGLETRANSLATE(A2874, ""de"", ""uk"")"),"На небі ні хмаринки.")</f>
        <v>На небі ні хмаринки.</v>
      </c>
    </row>
    <row r="2875" ht="15.75" customHeight="1">
      <c r="A2875" s="4" t="s">
        <v>2812</v>
      </c>
      <c r="B2875" s="2" t="str">
        <f>IFERROR(__xludf.DUMMYFUNCTION("GOOGLETRANSLATE(A2875, ""de"", ""uk"")"),"Місяць світить дуже яскраво.")</f>
        <v>Місяць світить дуже яскраво.</v>
      </c>
    </row>
    <row r="2876" ht="15.75" customHeight="1">
      <c r="A2876" s="4" t="s">
        <v>2813</v>
      </c>
      <c r="B2876" s="2" t="str">
        <f>IFERROR(__xludf.DUMMYFUNCTION("GOOGLETRANSLATE(A2876, ""de"", ""uk"")"),"Я перерахував усі зірки.")</f>
        <v>Я перерахував усі зірки.</v>
      </c>
    </row>
    <row r="2877" ht="15.75" customHeight="1">
      <c r="A2877" s="4" t="s">
        <v>2814</v>
      </c>
      <c r="B2877" s="2" t="str">
        <f>IFERROR(__xludf.DUMMYFUNCTION("GOOGLETRANSLATE(A2877, ""de"", ""uk"")"),"Чи є Земля планетою?")</f>
        <v>Чи є Земля планетою?</v>
      </c>
    </row>
    <row r="2878" ht="15.75" customHeight="1">
      <c r="A2878" s="4" t="s">
        <v>2815</v>
      </c>
      <c r="B2878" s="2" t="str">
        <f>IFERROR(__xludf.DUMMYFUNCTION("GOOGLETRANSLATE(A2878, ""de"", ""uk"")"),"Нам потрібна наша земля.")</f>
        <v>Нам потрібна наша земля.</v>
      </c>
    </row>
    <row r="2879" ht="15.75" customHeight="1">
      <c r="A2879" s="4" t="s">
        <v>2816</v>
      </c>
      <c r="B2879" s="2" t="str">
        <f>IFERROR(__xludf.DUMMYFUNCTION("GOOGLETRANSLATE(A2879, ""de"", ""uk"")"),"Ви знаєте, яка завтра буде погода?")</f>
        <v>Ви знаєте, яка завтра буде погода?</v>
      </c>
    </row>
    <row r="2880" ht="15.75" customHeight="1">
      <c r="A2880" s="4" t="s">
        <v>2817</v>
      </c>
      <c r="B2880" s="2" t="str">
        <f>IFERROR(__xludf.DUMMYFUNCTION("GOOGLETRANSLATE(A2880, ""de"", ""uk"")"),"Цілий день сонце світить.")</f>
        <v>Цілий день сонце світить.</v>
      </c>
    </row>
    <row r="2881" ht="15.75" customHeight="1">
      <c r="A2881" s="4" t="s">
        <v>2818</v>
      </c>
      <c r="B2881" s="2" t="str">
        <f>IFERROR(__xludf.DUMMYFUNCTION("GOOGLETRANSLATE(A2881, ""de"", ""uk"")"),"Коли нарешті знову піде дощ?")</f>
        <v>Коли нарешті знову піде дощ?</v>
      </c>
    </row>
    <row r="2882" ht="15.75" customHeight="1">
      <c r="A2882" s="4" t="s">
        <v>2819</v>
      </c>
      <c r="B2882" s="2" t="str">
        <f>IFERROR(__xludf.DUMMYFUNCTION("GOOGLETRANSLATE(A2882, ""de"", ""uk"")"),"Я нічого не бачу в цьому тумані.")</f>
        <v>Я нічого не бачу в цьому тумані.</v>
      </c>
    </row>
    <row r="2883" ht="15.75" customHeight="1">
      <c r="A2883" s="4" t="s">
        <v>2820</v>
      </c>
      <c r="B2883" s="2" t="str">
        <f>IFERROR(__xludf.DUMMYFUNCTION("GOOGLETRANSLATE(A2883, ""de"", ""uk"")"),"Глибина снігу два метри.")</f>
        <v>Глибина снігу два метри.</v>
      </c>
    </row>
    <row r="2884" ht="15.75" customHeight="1">
      <c r="A2884" s="4" t="s">
        <v>2821</v>
      </c>
      <c r="B2884" s="2" t="str">
        <f>IFERROR(__xludf.DUMMYFUNCTION("GOOGLETRANSLATE(A2884, ""de"", ""uk"")"),"Сьогодні сильний вітер.")</f>
        <v>Сьогодні сильний вітер.</v>
      </c>
    </row>
    <row r="2885" ht="15.75" customHeight="1">
      <c r="A2885" s="4" t="s">
        <v>2822</v>
      </c>
      <c r="B2885" s="2" t="str">
        <f>IFERROR(__xludf.DUMMYFUNCTION("GOOGLETRANSLATE(A2885, ""de"", ""uk"")"),"Дуже сильний вітер називається штормом.")</f>
        <v>Дуже сильний вітер називається штормом.</v>
      </c>
    </row>
    <row r="2886" ht="15.75" customHeight="1">
      <c r="A2886" s="4" t="s">
        <v>2823</v>
      </c>
      <c r="B2886" s="2" t="str">
        <f>IFERROR(__xludf.DUMMYFUNCTION("GOOGLETRANSLATE(A2886, ""de"", ""uk"")"),"Наближається гроза.")</f>
        <v>Наближається гроза.</v>
      </c>
    </row>
    <row r="2887" ht="15.75" customHeight="1">
      <c r="A2887" s="4" t="s">
        <v>2824</v>
      </c>
      <c r="B2887" s="2" t="str">
        <f>IFERROR(__xludf.DUMMYFUNCTION("GOOGLETRANSLATE(A2887, ""de"", ""uk"")"),"Ви бачили блискавку?")</f>
        <v>Ви бачили блискавку?</v>
      </c>
    </row>
    <row r="2888" ht="15.75" customHeight="1">
      <c r="A2888" s="4" t="s">
        <v>2825</v>
      </c>
      <c r="B2888" s="2" t="str">
        <f>IFERROR(__xludf.DUMMYFUNCTION("GOOGLETRANSLATE(A2888, ""de"", ""uk"")"),"Коли йде град, ми заходимо в приміщення.")</f>
        <v>Коли йде град, ми заходимо в приміщення.</v>
      </c>
    </row>
    <row r="2889" ht="15.75" customHeight="1">
      <c r="A2889" s="4" t="s">
        <v>2826</v>
      </c>
      <c r="B2889" s="2" t="str">
        <f>IFERROR(__xludf.DUMMYFUNCTION("GOOGLETRANSLATE(A2889, ""de"", ""uk"")"),"Взимку вода перетворюється на лід.")</f>
        <v>Взимку вода перетворюється на лід.</v>
      </c>
    </row>
    <row r="2890" ht="15.75" customHeight="1">
      <c r="A2890" s="4" t="s">
        <v>2827</v>
      </c>
      <c r="B2890" s="2" t="str">
        <f>IFERROR(__xludf.DUMMYFUNCTION("GOOGLETRANSLATE(A2890, ""de"", ""uk"")"),"Повітря дуже сухе.")</f>
        <v>Повітря дуже сухе.</v>
      </c>
    </row>
    <row r="2891" ht="15.75" customHeight="1">
      <c r="A2891" s="4" t="s">
        <v>2828</v>
      </c>
      <c r="B2891" s="2" t="str">
        <f>IFERROR(__xludf.DUMMYFUNCTION("GOOGLETRANSLATE(A2891, ""de"", ""uk"")"),"Мені потрібна лише крапля води.")</f>
        <v>Мені потрібна лише крапля води.</v>
      </c>
    </row>
    <row r="2892" ht="15.75" customHeight="1">
      <c r="A2892" s="4" t="s">
        <v>2829</v>
      </c>
      <c r="B2892" s="2" t="str">
        <f>IFERROR(__xludf.DUMMYFUNCTION("GOOGLETRANSLATE(A2892, ""de"", ""uk"")"),"У вас є парасолька з собою?")</f>
        <v>У вас є парасолька з собою?</v>
      </c>
    </row>
    <row r="2893" ht="15.75" customHeight="1">
      <c r="A2893" s="4" t="s">
        <v>2830</v>
      </c>
      <c r="B2893" s="2" t="str">
        <f>IFERROR(__xludf.DUMMYFUNCTION("GOOGLETRANSLATE(A2893, ""de"", ""uk"")"),"Подивіться на хмаринку.")</f>
        <v>Подивіться на хмаринку.</v>
      </c>
    </row>
    <row r="2894" ht="15.75" customHeight="1">
      <c r="A2894" s="4" t="s">
        <v>2831</v>
      </c>
      <c r="B2894" s="2" t="str">
        <f>IFERROR(__xludf.DUMMYFUNCTION("GOOGLETRANSLATE(A2894, ""de"", ""uk"")"),"Хто поливає квіти?")</f>
        <v>Хто поливає квіти?</v>
      </c>
    </row>
    <row r="2895" ht="15.75" customHeight="1">
      <c r="A2895" s="4" t="s">
        <v>2832</v>
      </c>
      <c r="B2895" s="2" t="str">
        <f>IFERROR(__xludf.DUMMYFUNCTION("GOOGLETRANSLATE(A2895, ""de"", ""uk"")"),"Сьогодні буде дуже спекотно.")</f>
        <v>Сьогодні буде дуже спекотно.</v>
      </c>
    </row>
    <row r="2896" ht="15.75" customHeight="1">
      <c r="A2896" s="4" t="s">
        <v>2833</v>
      </c>
      <c r="B2896" s="2" t="str">
        <f>IFERROR(__xludf.DUMMYFUNCTION("GOOGLETRANSLATE(A2896, ""de"", ""uk"")"),"Після дощу мій одяг був мокрий.")</f>
        <v>Після дощу мій одяг був мокрий.</v>
      </c>
    </row>
    <row r="2897" ht="15.75" customHeight="1">
      <c r="A2897" s="4" t="s">
        <v>2834</v>
      </c>
      <c r="B2897" s="2" t="str">
        <f>IFERROR(__xludf.DUMMYFUNCTION("GOOGLETRANSLATE(A2897, ""de"", ""uk"")"),"Сьогодні сонце світить весь день.")</f>
        <v>Сьогодні сонце світить весь день.</v>
      </c>
    </row>
    <row r="2898" ht="15.75" customHeight="1">
      <c r="A2898" s="4" t="s">
        <v>2835</v>
      </c>
      <c r="B2898" s="2" t="str">
        <f>IFERROR(__xludf.DUMMYFUNCTION("GOOGLETRANSLATE(A2898, ""de"", ""uk"")"),"Я не люблю тварин.")</f>
        <v>Я не люблю тварин.</v>
      </c>
    </row>
    <row r="2899" ht="15.75" customHeight="1">
      <c r="A2899" s="4" t="s">
        <v>2836</v>
      </c>
      <c r="B2899" s="2" t="str">
        <f>IFERROR(__xludf.DUMMYFUNCTION("GOOGLETRANSLATE(A2899, ""de"", ""uk"")"),"Птахи - красиві тварини.")</f>
        <v>Птахи - красиві тварини.</v>
      </c>
    </row>
    <row r="2900" ht="15.75" customHeight="1">
      <c r="A2900" s="4" t="s">
        <v>2837</v>
      </c>
      <c r="B2900" s="2" t="str">
        <f>IFERROR(__xludf.DUMMYFUNCTION("GOOGLETRANSLATE(A2900, ""de"", ""uk"")"),"Я їм багато риби.")</f>
        <v>Я їм багато риби.</v>
      </c>
    </row>
    <row r="2901" ht="15.75" customHeight="1">
      <c r="A2901" s="4" t="s">
        <v>2838</v>
      </c>
      <c r="B2901" s="2" t="str">
        <f>IFERROR(__xludf.DUMMYFUNCTION("GOOGLETRANSLATE(A2901, ""de"", ""uk"")"),"Я не люблю комах.")</f>
        <v>Я не люблю комах.</v>
      </c>
    </row>
    <row r="2902" ht="15.75" customHeight="1">
      <c r="A2902" s="4" t="s">
        <v>2839</v>
      </c>
      <c r="B2902" s="2" t="str">
        <f>IFERROR(__xludf.DUMMYFUNCTION("GOOGLETRANSLATE(A2902, ""de"", ""uk"")"),"Мій син грається з нашим собакою.")</f>
        <v>Мій син грається з нашим собакою.</v>
      </c>
    </row>
    <row r="2903" ht="15.75" customHeight="1">
      <c r="A2903" s="4" t="s">
        <v>2840</v>
      </c>
      <c r="B2903" s="2" t="str">
        <f>IFERROR(__xludf.DUMMYFUNCTION("GOOGLETRANSLATE(A2903, ""de"", ""uk"")"),"Наша кішка їсть свій корм.")</f>
        <v>Наша кішка їсть свій корм.</v>
      </c>
    </row>
    <row r="2904" ht="15.75" customHeight="1">
      <c r="A2904" s="4" t="s">
        <v>2841</v>
      </c>
      <c r="B2904" s="2" t="str">
        <f>IFERROR(__xludf.DUMMYFUNCTION("GOOGLETRANSLATE(A2904, ""de"", ""uk"")"),"Я не можу їсти свинину.")</f>
        <v>Я не можу їсти свинину.</v>
      </c>
    </row>
    <row r="2905" ht="15.75" customHeight="1">
      <c r="A2905" s="4" t="s">
        <v>2842</v>
      </c>
      <c r="B2905" s="2" t="str">
        <f>IFERROR(__xludf.DUMMYFUNCTION("GOOGLETRANSLATE(A2905, ""de"", ""uk"")"),"Корова дає молоко.")</f>
        <v>Корова дає молоко.</v>
      </c>
    </row>
    <row r="2906" ht="15.75" customHeight="1">
      <c r="A2906" s="4" t="s">
        <v>2843</v>
      </c>
      <c r="B2906" s="2" t="str">
        <f>IFERROR(__xludf.DUMMYFUNCTION("GOOGLETRANSLATE(A2906, ""de"", ""uk"")"),"У фермера багато овець.")</f>
        <v>У фермера багато овець.</v>
      </c>
    </row>
    <row r="2907" ht="15.75" customHeight="1">
      <c r="A2907" s="4" t="s">
        <v>2844</v>
      </c>
      <c r="B2907" s="2" t="str">
        <f>IFERROR(__xludf.DUMMYFUNCTION("GOOGLETRANSLATE(A2907, ""de"", ""uk"")"),"У зоопарку можна побачити багато тварин.")</f>
        <v>У зоопарку можна побачити багато тварин.</v>
      </c>
    </row>
    <row r="2908" ht="15.75" customHeight="1">
      <c r="A2908" s="4" t="s">
        <v>2845</v>
      </c>
      <c r="B2908" s="2" t="str">
        <f>IFERROR(__xludf.DUMMYFUNCTION("GOOGLETRANSLATE(A2908, ""de"", ""uk"")"),"У нашому саду багато рослин.")</f>
        <v>У нашому саду багато рослин.</v>
      </c>
    </row>
    <row r="2909" ht="15.75" customHeight="1">
      <c r="A2909" s="4" t="s">
        <v>2846</v>
      </c>
      <c r="B2909" s="2" t="str">
        <f>IFERROR(__xludf.DUMMYFUNCTION("GOOGLETRANSLATE(A2909, ""de"", ""uk"")"),"Старий рубає кущ.")</f>
        <v>Старий рубає кущ.</v>
      </c>
    </row>
    <row r="2910" ht="15.75" customHeight="1">
      <c r="A2910" s="4" t="s">
        <v>2847</v>
      </c>
      <c r="B2910" s="2" t="str">
        <f>IFERROR(__xludf.DUMMYFUNCTION("GOOGLETRANSLATE(A2910, ""de"", ""uk"")"),"Бузок у глибині саду.")</f>
        <v>Бузок у глибині саду.</v>
      </c>
    </row>
    <row r="2911" ht="15.75" customHeight="1">
      <c r="A2911" s="4" t="s">
        <v>2848</v>
      </c>
      <c r="B2911" s="2" t="str">
        <f>IFERROR(__xludf.DUMMYFUNCTION("GOOGLETRANSLATE(A2911, ""de"", ""uk"")"),"У цьому магазині можна купити квіти.")</f>
        <v>У цьому магазині можна купити квіти.</v>
      </c>
    </row>
    <row r="2912" ht="15.75" customHeight="1">
      <c r="A2912" s="4" t="s">
        <v>2849</v>
      </c>
      <c r="B2912" s="2" t="str">
        <f>IFERROR(__xludf.DUMMYFUNCTION("GOOGLETRANSLATE(A2912, ""de"", ""uk"")"),"Мій чоловік подарував мені червону троянду.")</f>
        <v>Мій чоловік подарував мені червону троянду.</v>
      </c>
    </row>
    <row r="2913" ht="15.75" customHeight="1">
      <c r="A2913" s="4" t="s">
        <v>2850</v>
      </c>
      <c r="B2913" s="2" t="str">
        <f>IFERROR(__xludf.DUMMYFUNCTION("GOOGLETRANSLATE(A2913, ""de"", ""uk"")"),"Лілія – прекрасна квітка.")</f>
        <v>Лілія – прекрасна квітка.</v>
      </c>
    </row>
    <row r="2914" ht="15.75" customHeight="1">
      <c r="A2914" s="4" t="s">
        <v>2851</v>
      </c>
      <c r="B2914" s="2" t="str">
        <f>IFERROR(__xludf.DUMMYFUNCTION("GOOGLETRANSLATE(A2914, ""de"", ""uk"")"),"У лісі багато дерев.")</f>
        <v>У лісі багато дерев.</v>
      </c>
    </row>
    <row r="2915" ht="15.75" customHeight="1">
      <c r="A2915" s="4" t="s">
        <v>2852</v>
      </c>
      <c r="B2915" s="2" t="str">
        <f>IFERROR(__xludf.DUMMYFUNCTION("GOOGLETRANSLATE(A2915, ""de"", ""uk"")"),"Пейзаж без лісу нудний.")</f>
        <v>Пейзаж без лісу нудний.</v>
      </c>
    </row>
    <row r="2916" ht="15.75" customHeight="1">
      <c r="A2916" s="4" t="s">
        <v>2853</v>
      </c>
      <c r="B2916" s="2" t="str">
        <f>IFERROR(__xludf.DUMMYFUNCTION("GOOGLETRANSLATE(A2916, ""de"", ""uk"")"),"Гора для нас надто висока.")</f>
        <v>Гора для нас надто висока.</v>
      </c>
    </row>
    <row r="2917" ht="15.75" customHeight="1">
      <c r="A2917" s="4" t="s">
        <v>2854</v>
      </c>
      <c r="B2917" s="2" t="str">
        <f>IFERROR(__xludf.DUMMYFUNCTION("GOOGLETRANSLATE(A2917, ""de"", ""uk"")"),"Багато гір є одним гірським масивом.")</f>
        <v>Багато гір є одним гірським масивом.</v>
      </c>
    </row>
    <row r="2918" ht="15.75" customHeight="1">
      <c r="A2918" s="4" t="s">
        <v>2855</v>
      </c>
      <c r="B2918" s="2" t="str">
        <f>IFERROR(__xludf.DUMMYFUNCTION("GOOGLETRANSLATE(A2918, ""de"", ""uk"")"),"Між двома горами лежить долина.")</f>
        <v>Між двома горами лежить долина.</v>
      </c>
    </row>
    <row r="2919" ht="15.75" customHeight="1">
      <c r="A2919" s="4" t="s">
        <v>2856</v>
      </c>
      <c r="B2919" s="2" t="str">
        <f>IFERROR(__xludf.DUMMYFUNCTION("GOOGLETRANSLATE(A2919, ""de"", ""uk"")"),"Я пливу через річку.")</f>
        <v>Я пливу через річку.</v>
      </c>
    </row>
    <row r="2920" ht="15.75" customHeight="1">
      <c r="A2920" s="4" t="s">
        <v>2857</v>
      </c>
      <c r="B2920" s="2" t="str">
        <f>IFERROR(__xludf.DUMMYFUNCTION("GOOGLETRANSLATE(A2920, ""de"", ""uk"")"),"Ми можемо купатися в озері.")</f>
        <v>Ми можемо купатися в озері.</v>
      </c>
    </row>
    <row r="2921" ht="15.75" customHeight="1">
      <c r="A2921" s="4" t="s">
        <v>2858</v>
      </c>
      <c r="B2921" s="2" t="str">
        <f>IFERROR(__xludf.DUMMYFUNCTION("GOOGLETRANSLATE(A2921, ""de"", ""uk"")"),"Струмок — дуже маленька річка.")</f>
        <v>Струмок — дуже маленька річка.</v>
      </c>
    </row>
    <row r="2922" ht="15.75" customHeight="1">
      <c r="A2922" s="4" t="s">
        <v>2859</v>
      </c>
      <c r="B2922" s="2" t="str">
        <f>IFERROR(__xludf.DUMMYFUNCTION("GOOGLETRANSLATE(A2922, ""de"", ""uk"")"),"Гуляємо лісом.")</f>
        <v>Гуляємо лісом.</v>
      </c>
    </row>
    <row r="2923" ht="15.75" customHeight="1">
      <c r="A2923" s="4" t="s">
        <v>2860</v>
      </c>
      <c r="B2923" s="2" t="str">
        <f>IFERROR(__xludf.DUMMYFUNCTION("GOOGLETRANSLATE(A2923, ""de"", ""uk"")"),"Діти бігають по галявині.")</f>
        <v>Діти бігають по галявині.</v>
      </c>
    </row>
    <row r="2924" ht="15.75" customHeight="1">
      <c r="A2924" s="4" t="s">
        <v>2861</v>
      </c>
      <c r="B2924" s="2" t="str">
        <f>IFERROR(__xludf.DUMMYFUNCTION("GOOGLETRANSLATE(A2924, ""de"", ""uk"")"),"На полі багато картоплі.")</f>
        <v>На полі багато картоплі.</v>
      </c>
    </row>
    <row r="2925" ht="15.75" customHeight="1">
      <c r="A2925" s="4" t="s">
        <v>2862</v>
      </c>
      <c r="B2925" s="2" t="str">
        <f>IFERROR(__xludf.DUMMYFUNCTION("GOOGLETRANSLATE(A2925, ""de"", ""uk"")"),"У парку можна побачити гарні квіти.")</f>
        <v>У парку можна побачити гарні квіти.</v>
      </c>
    </row>
    <row r="2926" ht="15.75" customHeight="1">
      <c r="A2926" s="4" t="s">
        <v>2863</v>
      </c>
      <c r="B2926" s="2" t="str">
        <f>IFERROR(__xludf.DUMMYFUNCTION("GOOGLETRANSLATE(A2926, ""de"", ""uk"")"),"У пустелі багато піску.")</f>
        <v>У пустелі багато піску.</v>
      </c>
    </row>
    <row r="2927" ht="15.75" customHeight="1">
      <c r="A2927" s="4" t="s">
        <v>2864</v>
      </c>
      <c r="B2927" s="2" t="str">
        <f>IFERROR(__xludf.DUMMYFUNCTION("GOOGLETRANSLATE(A2927, ""de"", ""uk"")"),"Я один на острові.")</f>
        <v>Я один на острові.</v>
      </c>
    </row>
    <row r="2928" ht="15.75" customHeight="1">
      <c r="A2928" s="4" t="s">
        <v>2865</v>
      </c>
      <c r="B2928" s="2" t="str">
        <f>IFERROR(__xludf.DUMMYFUNCTION("GOOGLETRANSLATE(A2928, ""de"", ""uk"")"),"Море дуже велике.")</f>
        <v>Море дуже велике.</v>
      </c>
    </row>
    <row r="2929" ht="15.75" customHeight="1">
      <c r="A2929" s="4" t="s">
        <v>2866</v>
      </c>
      <c r="B2929" s="2" t="str">
        <f>IFERROR(__xludf.DUMMYFUNCTION("GOOGLETRANSLATE(A2929, ""de"", ""uk"")"),"Подивіться також на малюнок.")</f>
        <v>Подивіться також на малюнок.</v>
      </c>
    </row>
    <row r="2930" ht="15.75" customHeight="1">
      <c r="A2930" s="4" t="s">
        <v>2867</v>
      </c>
      <c r="B2930" s="2" t="str">
        <f>IFERROR(__xludf.DUMMYFUNCTION("GOOGLETRANSLATE(A2930, ""de"", ""uk"")"),"Чоловік кидає палицю для свого собаки.")</f>
        <v>Чоловік кидає палицю для свого собаки.</v>
      </c>
    </row>
    <row r="2931" ht="15.75" customHeight="1">
      <c r="A2931" s="4" t="s">
        <v>2868</v>
      </c>
      <c r="B2931" s="2" t="str">
        <f>IFERROR(__xludf.DUMMYFUNCTION("GOOGLETRANSLATE(A2931, ""de"", ""uk"")"),"Весь світ сміється з вас.")</f>
        <v>Весь світ сміється з вас.</v>
      </c>
    </row>
    <row r="2932" ht="15.75" customHeight="1">
      <c r="A2932" s="1" t="s">
        <v>2869</v>
      </c>
      <c r="B2932" s="2" t="str">
        <f>IFERROR(__xludf.DUMMYFUNCTION("GOOGLETRANSLATE(A2932, ""de"", ""uk"")"),"країна")</f>
        <v>країна</v>
      </c>
    </row>
    <row r="2933" ht="15.75" customHeight="1">
      <c r="A2933" s="1" t="s">
        <v>2870</v>
      </c>
      <c r="B2933" s="2" t="str">
        <f>IFERROR(__xludf.DUMMYFUNCTION("GOOGLETRANSLATE(A2933, ""de"", ""uk"")"),"континент")</f>
        <v>континент</v>
      </c>
    </row>
    <row r="2934" ht="15.75" customHeight="1">
      <c r="A2934" s="1" t="s">
        <v>2871</v>
      </c>
      <c r="B2934" s="2" t="str">
        <f>IFERROR(__xludf.DUMMYFUNCTION("GOOGLETRANSLATE(A2934, ""de"", ""uk"")"),"Європа")</f>
        <v>Європа</v>
      </c>
    </row>
    <row r="2935" ht="15.75" customHeight="1">
      <c r="A2935" s="1" t="s">
        <v>85</v>
      </c>
      <c r="B2935" s="2" t="str">
        <f>IFERROR(__xludf.DUMMYFUNCTION("GOOGLETRANSLATE(A2935, ""de"", ""uk"")"),"Німеччина")</f>
        <v>Німеччина</v>
      </c>
    </row>
    <row r="2936" ht="15.75" customHeight="1">
      <c r="A2936" s="1" t="s">
        <v>2872</v>
      </c>
      <c r="B2936" s="2" t="str">
        <f>IFERROR(__xludf.DUMMYFUNCTION("GOOGLETRANSLATE(A2936, ""de"", ""uk"")"),"Швейцарія")</f>
        <v>Швейцарія</v>
      </c>
    </row>
    <row r="2937" ht="15.75" customHeight="1">
      <c r="A2937" s="1" t="s">
        <v>2873</v>
      </c>
      <c r="B2937" s="2" t="str">
        <f>IFERROR(__xludf.DUMMYFUNCTION("GOOGLETRANSLATE(A2937, ""de"", ""uk"")"),"Австрія")</f>
        <v>Австрія</v>
      </c>
    </row>
    <row r="2938" ht="15.75" customHeight="1">
      <c r="A2938" s="1" t="s">
        <v>2874</v>
      </c>
      <c r="B2938" s="2" t="str">
        <f>IFERROR(__xludf.DUMMYFUNCTION("GOOGLETRANSLATE(A2938, ""de"", ""uk"")"),"Бельгія")</f>
        <v>Бельгія</v>
      </c>
    </row>
    <row r="2939" ht="15.75" customHeight="1">
      <c r="A2939" s="1" t="s">
        <v>2875</v>
      </c>
      <c r="B2939" s="2" t="str">
        <f>IFERROR(__xludf.DUMMYFUNCTION("GOOGLETRANSLATE(A2939, ""de"", ""uk"")"),"Нідерланди")</f>
        <v>Нідерланди</v>
      </c>
    </row>
    <row r="2940" ht="15.75" customHeight="1">
      <c r="A2940" s="1" t="s">
        <v>2876</v>
      </c>
      <c r="B2940" s="2" t="str">
        <f>IFERROR(__xludf.DUMMYFUNCTION("GOOGLETRANSLATE(A2940, ""de"", ""uk"")"),"національність")</f>
        <v>національність</v>
      </c>
    </row>
    <row r="2941" ht="15.75" customHeight="1">
      <c r="A2941" s="1" t="s">
        <v>2877</v>
      </c>
      <c r="B2941" s="2" t="str">
        <f>IFERROR(__xludf.DUMMYFUNCTION("GOOGLETRANSLATE(A2941, ""de"", ""uk"")"),"віза")</f>
        <v>віза</v>
      </c>
    </row>
    <row r="2942" ht="15.75" customHeight="1">
      <c r="A2942" s="1" t="s">
        <v>2878</v>
      </c>
      <c r="B2942" s="2" t="str">
        <f>IFERROR(__xludf.DUMMYFUNCTION("GOOGLETRANSLATE(A2942, ""de"", ""uk"")"),"Велика Британія")</f>
        <v>Велика Британія</v>
      </c>
    </row>
    <row r="2943" ht="15.75" customHeight="1">
      <c r="A2943" s="1" t="s">
        <v>2879</v>
      </c>
      <c r="B2943" s="2" t="str">
        <f>IFERROR(__xludf.DUMMYFUNCTION("GOOGLETRANSLATE(A2943, ""de"", ""uk"")"),"Англія")</f>
        <v>Англія</v>
      </c>
    </row>
    <row r="2944" ht="15.75" customHeight="1">
      <c r="A2944" s="1" t="s">
        <v>2880</v>
      </c>
      <c r="B2944" s="2" t="str">
        <f>IFERROR(__xludf.DUMMYFUNCTION("GOOGLETRANSLATE(A2944, ""de"", ""uk"")"),"Франція")</f>
        <v>Франція</v>
      </c>
    </row>
    <row r="2945" ht="15.75" customHeight="1">
      <c r="A2945" s="1" t="s">
        <v>2881</v>
      </c>
      <c r="B2945" s="2" t="str">
        <f>IFERROR(__xludf.DUMMYFUNCTION("GOOGLETRANSLATE(A2945, ""de"", ""uk"")"),"Італія")</f>
        <v>Італія</v>
      </c>
    </row>
    <row r="2946" ht="15.75" customHeight="1">
      <c r="A2946" s="1" t="s">
        <v>2882</v>
      </c>
      <c r="B2946" s="2" t="str">
        <f>IFERROR(__xludf.DUMMYFUNCTION("GOOGLETRANSLATE(A2946, ""de"", ""uk"")"),"Іспанія")</f>
        <v>Іспанія</v>
      </c>
    </row>
    <row r="2947" ht="15.75" customHeight="1">
      <c r="A2947" s="1" t="s">
        <v>2883</v>
      </c>
      <c r="B2947" s="2" t="str">
        <f>IFERROR(__xludf.DUMMYFUNCTION("GOOGLETRANSLATE(A2947, ""de"", ""uk"")"),"Туреччина")</f>
        <v>Туреччина</v>
      </c>
    </row>
    <row r="2948" ht="15.75" customHeight="1">
      <c r="A2948" s="1" t="s">
        <v>2884</v>
      </c>
      <c r="B2948" s="2" t="str">
        <f>IFERROR(__xludf.DUMMYFUNCTION("GOOGLETRANSLATE(A2948, ""de"", ""uk"")"),"Росія")</f>
        <v>Росія</v>
      </c>
    </row>
    <row r="2949" ht="15.75" customHeight="1">
      <c r="A2949" s="1" t="s">
        <v>2885</v>
      </c>
      <c r="B2949" s="2" t="str">
        <f>IFERROR(__xludf.DUMMYFUNCTION("GOOGLETRANSLATE(A2949, ""de"", ""uk"")"),"Албанія")</f>
        <v>Албанія</v>
      </c>
    </row>
    <row r="2950" ht="15.75" customHeight="1">
      <c r="A2950" s="1" t="s">
        <v>2886</v>
      </c>
      <c r="B2950" s="2" t="str">
        <f>IFERROR(__xludf.DUMMYFUNCTION("GOOGLETRANSLATE(A2950, ""de"", ""uk"")"),"Сербія")</f>
        <v>Сербія</v>
      </c>
    </row>
    <row r="2951" ht="15.75" customHeight="1">
      <c r="A2951" s="1" t="s">
        <v>2887</v>
      </c>
      <c r="B2951" s="2" t="str">
        <f>IFERROR(__xludf.DUMMYFUNCTION("GOOGLETRANSLATE(A2951, ""de"", ""uk"")"),"Іран")</f>
        <v>Іран</v>
      </c>
    </row>
    <row r="2952" ht="15.75" customHeight="1">
      <c r="A2952" s="1" t="s">
        <v>2888</v>
      </c>
      <c r="B2952" s="2" t="str">
        <f>IFERROR(__xludf.DUMMYFUNCTION("GOOGLETRANSLATE(A2952, ""de"", ""uk"")"),"Палестина")</f>
        <v>Палестина</v>
      </c>
    </row>
    <row r="2953" ht="15.75" customHeight="1">
      <c r="A2953" s="1" t="s">
        <v>2889</v>
      </c>
      <c r="B2953" s="2" t="str">
        <f>IFERROR(__xludf.DUMMYFUNCTION("GOOGLETRANSLATE(A2953, ""de"", ""uk"")"),"Сирія")</f>
        <v>Сирія</v>
      </c>
    </row>
    <row r="2954" ht="15.75" customHeight="1">
      <c r="A2954" s="1" t="s">
        <v>2890</v>
      </c>
      <c r="B2954" s="2" t="str">
        <f>IFERROR(__xludf.DUMMYFUNCTION("GOOGLETRANSLATE(A2954, ""de"", ""uk"")"),"Чечня")</f>
        <v>Чечня</v>
      </c>
    </row>
    <row r="2955" ht="15.75" customHeight="1">
      <c r="A2955" s="1" t="s">
        <v>2891</v>
      </c>
      <c r="B2955" s="2" t="str">
        <f>IFERROR(__xludf.DUMMYFUNCTION("GOOGLETRANSLATE(A2955, ""de"", ""uk"")"),"Афганістан")</f>
        <v>Афганістан</v>
      </c>
    </row>
    <row r="2956" ht="15.75" customHeight="1">
      <c r="A2956" s="1" t="s">
        <v>2892</v>
      </c>
      <c r="B2956" s="2" t="str">
        <f>IFERROR(__xludf.DUMMYFUNCTION("GOOGLETRANSLATE(A2956, ""de"", ""uk"")"),"Сомалі")</f>
        <v>Сомалі</v>
      </c>
    </row>
    <row r="2957" ht="15.75" customHeight="1">
      <c r="A2957" s="1" t="s">
        <v>2893</v>
      </c>
      <c r="B2957" s="2" t="str">
        <f>IFERROR(__xludf.DUMMYFUNCTION("GOOGLETRANSLATE(A2957, ""de"", ""uk"")"),"Пакистан")</f>
        <v>Пакистан</v>
      </c>
    </row>
    <row r="2958" ht="15.75" customHeight="1">
      <c r="A2958" s="1" t="s">
        <v>2894</v>
      </c>
      <c r="B2958" s="2" t="str">
        <f>IFERROR(__xludf.DUMMYFUNCTION("GOOGLETRANSLATE(A2958, ""de"", ""uk"")"),"Індія")</f>
        <v>Індія</v>
      </c>
    </row>
    <row r="2959" ht="15.75" customHeight="1">
      <c r="A2959" s="1" t="s">
        <v>2895</v>
      </c>
      <c r="B2959" s="2" t="str">
        <f>IFERROR(__xludf.DUMMYFUNCTION("GOOGLETRANSLATE(A2959, ""de"", ""uk"")"),"європейський")</f>
        <v>європейський</v>
      </c>
    </row>
    <row r="2960" ht="15.75" customHeight="1">
      <c r="A2960" s="1" t="s">
        <v>2896</v>
      </c>
      <c r="B2960" s="2" t="str">
        <f>IFERROR(__xludf.DUMMYFUNCTION("GOOGLETRANSLATE(A2960, ""de"", ""uk"")"),"німець/німець")</f>
        <v>німець/німець</v>
      </c>
    </row>
    <row r="2961" ht="15.75" customHeight="1">
      <c r="A2961" s="1" t="s">
        <v>2897</v>
      </c>
      <c r="B2961" s="2" t="str">
        <f>IFERROR(__xludf.DUMMYFUNCTION("GOOGLETRANSLATE(A2961, ""de"", ""uk"")"),"австрійський")</f>
        <v>австрійський</v>
      </c>
    </row>
    <row r="2962" ht="15.75" customHeight="1">
      <c r="A2962" s="1" t="s">
        <v>2898</v>
      </c>
      <c r="B2962" s="2" t="str">
        <f>IFERROR(__xludf.DUMMYFUNCTION("GOOGLETRANSLATE(A2962, ""de"", ""uk"")"),"швейцарці")</f>
        <v>швейцарці</v>
      </c>
    </row>
    <row r="2963" ht="15.75" customHeight="1">
      <c r="A2963" s="1" t="s">
        <v>2899</v>
      </c>
      <c r="B2963" s="2" t="str">
        <f>IFERROR(__xludf.DUMMYFUNCTION("GOOGLETRANSLATE(A2963, ""de"", ""uk"")"),"бельгієць")</f>
        <v>бельгієць</v>
      </c>
    </row>
    <row r="2964" ht="15.75" customHeight="1">
      <c r="A2964" s="1" t="s">
        <v>2900</v>
      </c>
      <c r="B2964" s="2" t="str">
        <f>IFERROR(__xludf.DUMMYFUNCTION("GOOGLETRANSLATE(A2964, ""de"", ""uk"")"),"голландець/жінка")</f>
        <v>голландець/жінка</v>
      </c>
    </row>
    <row r="2965" ht="15.75" customHeight="1">
      <c r="A2965" s="1" t="s">
        <v>2901</v>
      </c>
      <c r="B2965" s="2" t="str">
        <f>IFERROR(__xludf.DUMMYFUNCTION("GOOGLETRANSLATE(A2965, ""de"", ""uk"")"),"британець")</f>
        <v>британець</v>
      </c>
    </row>
    <row r="2966" ht="15.75" customHeight="1">
      <c r="A2966" s="1" t="s">
        <v>2902</v>
      </c>
      <c r="B2966" s="2" t="str">
        <f>IFERROR(__xludf.DUMMYFUNCTION("GOOGLETRANSLATE(A2966, ""de"", ""uk"")"),"англієць/англійка")</f>
        <v>англієць/англійка</v>
      </c>
    </row>
    <row r="2967" ht="15.75" customHeight="1">
      <c r="A2967" s="1" t="s">
        <v>2903</v>
      </c>
      <c r="B2967" s="2" t="str">
        <f>IFERROR(__xludf.DUMMYFUNCTION("GOOGLETRANSLATE(A2967, ""de"", ""uk"")"),"француз/жінка")</f>
        <v>француз/жінка</v>
      </c>
    </row>
    <row r="2968" ht="15.75" customHeight="1">
      <c r="A2968" s="1" t="s">
        <v>2904</v>
      </c>
      <c r="B2968" s="2" t="str">
        <f>IFERROR(__xludf.DUMMYFUNCTION("GOOGLETRANSLATE(A2968, ""de"", ""uk"")"),"іспанець")</f>
        <v>іспанець</v>
      </c>
    </row>
    <row r="2969" ht="15.75" customHeight="1">
      <c r="A2969" s="1" t="s">
        <v>2905</v>
      </c>
      <c r="B2969" s="2" t="str">
        <f>IFERROR(__xludf.DUMMYFUNCTION("GOOGLETRANSLATE(A2969, ""de"", ""uk"")"),"італієць")</f>
        <v>італієць</v>
      </c>
    </row>
    <row r="2970" ht="15.75" customHeight="1">
      <c r="A2970" s="1" t="s">
        <v>2906</v>
      </c>
      <c r="B2970" s="2" t="str">
        <f>IFERROR(__xludf.DUMMYFUNCTION("GOOGLETRANSLATE(A2970, ""de"", ""uk"")"),"турок/туркеня")</f>
        <v>турок/туркеня</v>
      </c>
    </row>
    <row r="2971" ht="15.75" customHeight="1">
      <c r="A2971" s="1" t="s">
        <v>2907</v>
      </c>
      <c r="B2971" s="2" t="str">
        <f>IFERROR(__xludf.DUMMYFUNCTION("GOOGLETRANSLATE(A2971, ""de"", ""uk"")"),"російський")</f>
        <v>російський</v>
      </c>
    </row>
    <row r="2972" ht="15.75" customHeight="1">
      <c r="A2972" s="1" t="s">
        <v>2908</v>
      </c>
      <c r="B2972" s="2" t="str">
        <f>IFERROR(__xludf.DUMMYFUNCTION("GOOGLETRANSLATE(A2972, ""de"", ""uk"")"),"албанець")</f>
        <v>албанець</v>
      </c>
    </row>
    <row r="2973" ht="15.75" customHeight="1">
      <c r="A2973" s="1" t="s">
        <v>2909</v>
      </c>
      <c r="B2973" s="2" t="str">
        <f>IFERROR(__xludf.DUMMYFUNCTION("GOOGLETRANSLATE(A2973, ""de"", ""uk"")"),"серб/серб")</f>
        <v>серб/серб</v>
      </c>
    </row>
    <row r="2974" ht="15.75" customHeight="1">
      <c r="A2974" s="1" t="s">
        <v>2910</v>
      </c>
      <c r="B2974" s="2" t="str">
        <f>IFERROR(__xludf.DUMMYFUNCTION("GOOGLETRANSLATE(A2974, ""de"", ""uk"")"),"іранський")</f>
        <v>іранський</v>
      </c>
    </row>
    <row r="2975" ht="15.75" customHeight="1">
      <c r="A2975" s="1" t="s">
        <v>2911</v>
      </c>
      <c r="B2975" s="2" t="str">
        <f>IFERROR(__xludf.DUMMYFUNCTION("GOOGLETRANSLATE(A2975, ""de"", ""uk"")"),"палестинець")</f>
        <v>палестинець</v>
      </c>
    </row>
    <row r="2976" ht="15.75" customHeight="1">
      <c r="A2976" s="1" t="s">
        <v>2912</v>
      </c>
      <c r="B2976" s="2" t="str">
        <f>IFERROR(__xludf.DUMMYFUNCTION("GOOGLETRANSLATE(A2976, ""de"", ""uk"")"),"сирійський")</f>
        <v>сирійський</v>
      </c>
    </row>
    <row r="2977" ht="15.75" customHeight="1">
      <c r="A2977" s="1" t="s">
        <v>2913</v>
      </c>
      <c r="B2977" s="2" t="str">
        <f>IFERROR(__xludf.DUMMYFUNCTION("GOOGLETRANSLATE(A2977, ""de"", ""uk"")"),"чеченка/чеченка")</f>
        <v>чеченка/чеченка</v>
      </c>
    </row>
    <row r="2978" ht="15.75" customHeight="1">
      <c r="A2978" s="1" t="s">
        <v>2914</v>
      </c>
      <c r="B2978" s="2" t="str">
        <f>IFERROR(__xludf.DUMMYFUNCTION("GOOGLETRANSLATE(A2978, ""de"", ""uk"")"),"афганець")</f>
        <v>афганець</v>
      </c>
    </row>
    <row r="2979" ht="15.75" customHeight="1">
      <c r="A2979" s="1" t="s">
        <v>2915</v>
      </c>
      <c r="B2979" s="2" t="str">
        <f>IFERROR(__xludf.DUMMYFUNCTION("GOOGLETRANSLATE(A2979, ""de"", ""uk"")"),"сомалійська/сомалійка")</f>
        <v>сомалійська/сомалійка</v>
      </c>
    </row>
    <row r="2980" ht="15.75" customHeight="1">
      <c r="A2980" s="1" t="s">
        <v>2916</v>
      </c>
      <c r="B2980" s="2" t="str">
        <f>IFERROR(__xludf.DUMMYFUNCTION("GOOGLETRANSLATE(A2980, ""de"", ""uk"")"),"пакистанець/пакистанці")</f>
        <v>пакистанець/пакистанці</v>
      </c>
    </row>
    <row r="2981" ht="15.75" customHeight="1">
      <c r="A2981" s="1" t="s">
        <v>2917</v>
      </c>
      <c r="B2981" s="2" t="str">
        <f>IFERROR(__xludf.DUMMYFUNCTION("GOOGLETRANSLATE(A2981, ""de"", ""uk"")"),"індіанець")</f>
        <v>індіанець</v>
      </c>
    </row>
    <row r="2982" ht="15.75" customHeight="1">
      <c r="A2982" s="1" t="s">
        <v>2918</v>
      </c>
      <c r="B2982" s="2" t="str">
        <f>IFERROR(__xludf.DUMMYFUNCTION("GOOGLETRANSLATE(A2982, ""de"", ""uk"")"),"європейський")</f>
        <v>європейський</v>
      </c>
    </row>
    <row r="2983" ht="15.75" customHeight="1">
      <c r="A2983" s="1" t="s">
        <v>29</v>
      </c>
      <c r="B2983" s="2" t="str">
        <f>IFERROR(__xludf.DUMMYFUNCTION("GOOGLETRANSLATE(A2983, ""de"", ""uk"")"),"Німецький")</f>
        <v>Німецький</v>
      </c>
    </row>
    <row r="2984" ht="15.75" customHeight="1">
      <c r="A2984" s="1" t="s">
        <v>2919</v>
      </c>
      <c r="B2984" s="2" t="str">
        <f>IFERROR(__xludf.DUMMYFUNCTION("GOOGLETRANSLATE(A2984, ""de"", ""uk"")"),"австрійський")</f>
        <v>австрійський</v>
      </c>
    </row>
    <row r="2985" ht="15.75" customHeight="1">
      <c r="A2985" s="1" t="s">
        <v>2920</v>
      </c>
      <c r="B2985" s="2" t="str">
        <f>IFERROR(__xludf.DUMMYFUNCTION("GOOGLETRANSLATE(A2985, ""de"", ""uk"")"),"швейцарський")</f>
        <v>швейцарський</v>
      </c>
    </row>
    <row r="2986" ht="15.75" customHeight="1">
      <c r="A2986" s="1" t="s">
        <v>2921</v>
      </c>
      <c r="B2986" s="2" t="str">
        <f>IFERROR(__xludf.DUMMYFUNCTION("GOOGLETRANSLATE(A2986, ""de"", ""uk"")"),"бельгійський")</f>
        <v>бельгійський</v>
      </c>
    </row>
    <row r="2987" ht="15.75" customHeight="1">
      <c r="A2987" s="1" t="s">
        <v>2922</v>
      </c>
      <c r="B2987" s="2" t="str">
        <f>IFERROR(__xludf.DUMMYFUNCTION("GOOGLETRANSLATE(A2987, ""de"", ""uk"")"),"голландська")</f>
        <v>голландська</v>
      </c>
    </row>
    <row r="2988" ht="15.75" customHeight="1">
      <c r="A2988" s="1" t="s">
        <v>2923</v>
      </c>
      <c r="B2988" s="2" t="str">
        <f>IFERROR(__xludf.DUMMYFUNCTION("GOOGLETRANSLATE(A2988, ""de"", ""uk"")"),"британець")</f>
        <v>британець</v>
      </c>
    </row>
    <row r="2989" ht="15.75" customHeight="1">
      <c r="A2989" s="1" t="s">
        <v>2924</v>
      </c>
      <c r="B2989" s="2" t="str">
        <f>IFERROR(__xludf.DUMMYFUNCTION("GOOGLETRANSLATE(A2989, ""de"", ""uk"")"),"англійська")</f>
        <v>англійська</v>
      </c>
    </row>
    <row r="2990" ht="15.75" customHeight="1">
      <c r="A2990" s="1" t="s">
        <v>2925</v>
      </c>
      <c r="B2990" s="2" t="str">
        <f>IFERROR(__xludf.DUMMYFUNCTION("GOOGLETRANSLATE(A2990, ""de"", ""uk"")"),"французька")</f>
        <v>французька</v>
      </c>
    </row>
    <row r="2991" ht="15.75" customHeight="1">
      <c r="A2991" s="1" t="s">
        <v>2926</v>
      </c>
      <c r="B2991" s="2" t="str">
        <f>IFERROR(__xludf.DUMMYFUNCTION("GOOGLETRANSLATE(A2991, ""de"", ""uk"")"),"італійська")</f>
        <v>італійська</v>
      </c>
    </row>
    <row r="2992" ht="15.75" customHeight="1">
      <c r="A2992" s="1" t="s">
        <v>2927</v>
      </c>
      <c r="B2992" s="2" t="str">
        <f>IFERROR(__xludf.DUMMYFUNCTION("GOOGLETRANSLATE(A2992, ""de"", ""uk"")"),"Іспанська")</f>
        <v>Іспанська</v>
      </c>
    </row>
    <row r="2993" ht="15.75" customHeight="1">
      <c r="A2993" s="1" t="s">
        <v>2928</v>
      </c>
      <c r="B2993" s="2" t="str">
        <f>IFERROR(__xludf.DUMMYFUNCTION("GOOGLETRANSLATE(A2993, ""de"", ""uk"")"),"турецька")</f>
        <v>турецька</v>
      </c>
    </row>
    <row r="2994" ht="15.75" customHeight="1">
      <c r="A2994" s="1" t="s">
        <v>2929</v>
      </c>
      <c r="B2994" s="2" t="str">
        <f>IFERROR(__xludf.DUMMYFUNCTION("GOOGLETRANSLATE(A2994, ""de"", ""uk"")"),"російська")</f>
        <v>російська</v>
      </c>
    </row>
    <row r="2995" ht="15.75" customHeight="1">
      <c r="A2995" s="1" t="s">
        <v>2930</v>
      </c>
      <c r="B2995" s="2" t="str">
        <f>IFERROR(__xludf.DUMMYFUNCTION("GOOGLETRANSLATE(A2995, ""de"", ""uk"")"),"албанець")</f>
        <v>албанець</v>
      </c>
    </row>
    <row r="2996" ht="15.75" customHeight="1">
      <c r="A2996" s="1" t="s">
        <v>2931</v>
      </c>
      <c r="B2996" s="2" t="str">
        <f>IFERROR(__xludf.DUMMYFUNCTION("GOOGLETRANSLATE(A2996, ""de"", ""uk"")"),"сербська")</f>
        <v>сербська</v>
      </c>
    </row>
    <row r="2997" ht="15.75" customHeight="1">
      <c r="A2997" s="1" t="s">
        <v>2932</v>
      </c>
      <c r="B2997" s="2" t="str">
        <f>IFERROR(__xludf.DUMMYFUNCTION("GOOGLETRANSLATE(A2997, ""de"", ""uk"")"),"іранський")</f>
        <v>іранський</v>
      </c>
    </row>
    <row r="2998" ht="15.75" customHeight="1">
      <c r="A2998" s="1" t="s">
        <v>2933</v>
      </c>
      <c r="B2998" s="2" t="str">
        <f>IFERROR(__xludf.DUMMYFUNCTION("GOOGLETRANSLATE(A2998, ""de"", ""uk"")"),"палестинець")</f>
        <v>палестинець</v>
      </c>
    </row>
    <row r="2999" ht="15.75" customHeight="1">
      <c r="A2999" s="1" t="s">
        <v>2934</v>
      </c>
      <c r="B2999" s="2" t="str">
        <f>IFERROR(__xludf.DUMMYFUNCTION("GOOGLETRANSLATE(A2999, ""de"", ""uk"")"),"сирійський")</f>
        <v>сирійський</v>
      </c>
    </row>
    <row r="3000" ht="15.75" customHeight="1">
      <c r="A3000" s="1" t="s">
        <v>2935</v>
      </c>
      <c r="B3000" s="2" t="str">
        <f>IFERROR(__xludf.DUMMYFUNCTION("GOOGLETRANSLATE(A3000, ""de"", ""uk"")"),"чеченський")</f>
        <v>чеченський</v>
      </c>
    </row>
    <row r="3001" ht="15.75" customHeight="1">
      <c r="A3001" s="1" t="s">
        <v>2936</v>
      </c>
      <c r="B3001" s="2" t="str">
        <f>IFERROR(__xludf.DUMMYFUNCTION("GOOGLETRANSLATE(A3001, ""de"", ""uk"")"),"афганський")</f>
        <v>афганський</v>
      </c>
    </row>
    <row r="3002" ht="15.75" customHeight="1">
      <c r="A3002" s="1" t="s">
        <v>2937</v>
      </c>
      <c r="B3002" s="2" t="str">
        <f>IFERROR(__xludf.DUMMYFUNCTION("GOOGLETRANSLATE(A3002, ""de"", ""uk"")"),"сомалі")</f>
        <v>сомалі</v>
      </c>
    </row>
    <row r="3003" ht="15.75" customHeight="1">
      <c r="A3003" s="1" t="s">
        <v>2938</v>
      </c>
      <c r="B3003" s="2" t="str">
        <f>IFERROR(__xludf.DUMMYFUNCTION("GOOGLETRANSLATE(A3003, ""de"", ""uk"")"),"пакистанський")</f>
        <v>пакистанський</v>
      </c>
    </row>
    <row r="3004" ht="15.75" customHeight="1">
      <c r="A3004" s="1" t="s">
        <v>2939</v>
      </c>
      <c r="B3004" s="2" t="str">
        <f>IFERROR(__xludf.DUMMYFUNCTION("GOOGLETRANSLATE(A3004, ""de"", ""uk"")"),"індійський")</f>
        <v>індійський</v>
      </c>
    </row>
    <row r="3005" ht="15.75" customHeight="1">
      <c r="A3005" s="1" t="s">
        <v>2940</v>
      </c>
      <c r="B3005" s="2" t="str">
        <f>IFERROR(__xludf.DUMMYFUNCTION("GOOGLETRANSLATE(A3005, ""de"", ""uk"")"),"міжнародний")</f>
        <v>міжнародний</v>
      </c>
    </row>
    <row r="3006" ht="15.75" customHeight="1">
      <c r="A3006" s="4" t="s">
        <v>2941</v>
      </c>
      <c r="B3006" s="2" t="str">
        <f>IFERROR(__xludf.DUMMYFUNCTION("GOOGLETRANSLATE(A3006, ""de"", ""uk"")"),"з якої ви країни?")</f>
        <v>з якої ви країни?</v>
      </c>
    </row>
    <row r="3007" ht="15.75" customHeight="1">
      <c r="A3007" s="4" t="s">
        <v>2942</v>
      </c>
      <c r="B3007" s="2" t="str">
        <f>IFERROR(__xludf.DUMMYFUNCTION("GOOGLETRANSLATE(A3007, ""de"", ""uk"")"),"На якому континенті розташована Німеччина?")</f>
        <v>На якому континенті розташована Німеччина?</v>
      </c>
    </row>
    <row r="3008" ht="15.75" customHeight="1">
      <c r="A3008" s="4" t="s">
        <v>2943</v>
      </c>
      <c r="B3008" s="2" t="str">
        <f>IFERROR(__xludf.DUMMYFUNCTION("GOOGLETRANSLATE(A3008, ""de"", ""uk"")"),"Німеччина - країна в Європі.")</f>
        <v>Німеччина - країна в Європі.</v>
      </c>
    </row>
    <row r="3009" ht="15.75" customHeight="1">
      <c r="A3009" s="4" t="s">
        <v>2944</v>
      </c>
      <c r="B3009" s="2" t="str">
        <f>IFERROR(__xludf.DUMMYFUNCTION("GOOGLETRANSLATE(A3009, ""de"", ""uk"")"),"Швейцарія знаходиться поруч з Німеччиною.")</f>
        <v>Швейцарія знаходиться поруч з Німеччиною.</v>
      </c>
    </row>
    <row r="3010" ht="15.75" customHeight="1">
      <c r="A3010" s="4" t="s">
        <v>2945</v>
      </c>
      <c r="B3010" s="2" t="str">
        <f>IFERROR(__xludf.DUMMYFUNCTION("GOOGLETRANSLATE(A3010, ""de"", ""uk"")"),"Австрія є сусідом Німеччини.")</f>
        <v>Австрія є сусідом Німеччини.</v>
      </c>
    </row>
    <row r="3011" ht="15.75" customHeight="1">
      <c r="A3011" s="4" t="s">
        <v>2946</v>
      </c>
      <c r="B3011" s="2" t="str">
        <f>IFERROR(__xludf.DUMMYFUNCTION("GOOGLETRANSLATE(A3011, ""de"", ""uk"")"),"У Бельгії люди не говорять німецькою.")</f>
        <v>У Бельгії люди не говорять німецькою.</v>
      </c>
    </row>
    <row r="3012" ht="15.75" customHeight="1">
      <c r="A3012" s="4" t="s">
        <v>2947</v>
      </c>
      <c r="B3012" s="2" t="str">
        <f>IFERROR(__xludf.DUMMYFUNCTION("GOOGLETRANSLATE(A3012, ""de"", ""uk"")"),"У Нідерландах не говорять німецькою.")</f>
        <v>У Нідерландах не говорять німецькою.</v>
      </c>
    </row>
    <row r="3013" ht="15.75" customHeight="1">
      <c r="A3013" s="4" t="s">
        <v>2948</v>
      </c>
      <c r="B3013" s="2" t="str">
        <f>IFERROR(__xludf.DUMMYFUNCTION("GOOGLETRANSLATE(A3013, ""de"", ""uk"")"),"Тут живуть люди різних національностей.")</f>
        <v>Тут живуть люди різних національностей.</v>
      </c>
    </row>
    <row r="3014" ht="15.75" customHeight="1">
      <c r="A3014" s="4" t="s">
        <v>2949</v>
      </c>
      <c r="B3014" s="2" t="str">
        <f>IFERROR(__xludf.DUMMYFUNCTION("GOOGLETRANSLATE(A3014, ""de"", ""uk"")"),"Мені потрібна віза, щоб працювати тут.")</f>
        <v>Мені потрібна віза, щоб працювати тут.</v>
      </c>
    </row>
    <row r="3015" ht="15.75" customHeight="1">
      <c r="A3015" s="4" t="s">
        <v>2950</v>
      </c>
      <c r="B3015" s="2" t="str">
        <f>IFERROR(__xludf.DUMMYFUNCTION("GOOGLETRANSLATE(A3015, ""de"", ""uk"")"),"У Британії багато дощу.")</f>
        <v>У Британії багато дощу.</v>
      </c>
    </row>
    <row r="3016" ht="15.75" customHeight="1">
      <c r="A3016" s="4" t="s">
        <v>2951</v>
      </c>
      <c r="B3016" s="2" t="str">
        <f>IFERROR(__xludf.DUMMYFUNCTION("GOOGLETRANSLATE(A3016, ""de"", ""uk"")"),"Столиця Англії - Лондон.")</f>
        <v>Столиця Англії - Лондон.</v>
      </c>
    </row>
    <row r="3017" ht="15.75" customHeight="1">
      <c r="A3017" s="4" t="s">
        <v>2952</v>
      </c>
      <c r="B3017" s="2" t="str">
        <f>IFERROR(__xludf.DUMMYFUNCTION("GOOGLETRANSLATE(A3017, ""de"", ""uk"")"),"У Франції люди їдять дуже довго.")</f>
        <v>У Франції люди їдять дуже довго.</v>
      </c>
    </row>
    <row r="3018" ht="15.75" customHeight="1">
      <c r="A3018" s="4" t="s">
        <v>2953</v>
      </c>
      <c r="B3018" s="2" t="str">
        <f>IFERROR(__xludf.DUMMYFUNCTION("GOOGLETRANSLATE(A3018, ""de"", ""uk"")"),"В Італії завжди є піца.")</f>
        <v>В Італії завжди є піца.</v>
      </c>
    </row>
    <row r="3019" ht="15.75" customHeight="1">
      <c r="A3019" s="4" t="s">
        <v>2954</v>
      </c>
      <c r="B3019" s="2" t="str">
        <f>IFERROR(__xludf.DUMMYFUNCTION("GOOGLETRANSLATE(A3019, ""de"", ""uk"")"),"В Іспанії дуже жарко.")</f>
        <v>В Іспанії дуже жарко.</v>
      </c>
    </row>
    <row r="3020" ht="15.75" customHeight="1">
      <c r="A3020" s="4" t="s">
        <v>2955</v>
      </c>
      <c r="B3020" s="2" t="str">
        <f>IFERROR(__xludf.DUMMYFUNCTION("GOOGLETRANSLATE(A3020, ""de"", ""uk"")"),"Багато вихідців з Туреччини проживає в Німеччині.")</f>
        <v>Багато вихідців з Туреччини проживає в Німеччині.</v>
      </c>
    </row>
    <row r="3021" ht="15.75" customHeight="1">
      <c r="A3021" s="4" t="s">
        <v>2956</v>
      </c>
      <c r="B3021" s="2" t="str">
        <f>IFERROR(__xludf.DUMMYFUNCTION("GOOGLETRANSLATE(A3021, ""de"", ""uk"")"),"В Росії говорять російською.")</f>
        <v>В Росії говорять російською.</v>
      </c>
    </row>
    <row r="3022" ht="15.75" customHeight="1">
      <c r="A3022" s="4" t="s">
        <v>2957</v>
      </c>
      <c r="B3022" s="2" t="str">
        <f>IFERROR(__xludf.DUMMYFUNCTION("GOOGLETRANSLATE(A3022, ""de"", ""uk"")"),"Я родом з Албанії.")</f>
        <v>Я родом з Албанії.</v>
      </c>
    </row>
    <row r="3023" ht="15.75" customHeight="1">
      <c r="A3023" s="4" t="s">
        <v>2958</v>
      </c>
      <c r="B3023" s="2" t="str">
        <f>IFERROR(__xludf.DUMMYFUNCTION("GOOGLETRANSLATE(A3023, ""de"", ""uk"")"),"Я не з Сербії.")</f>
        <v>Я не з Сербії.</v>
      </c>
    </row>
    <row r="3024" ht="15.75" customHeight="1">
      <c r="A3024" s="4" t="s">
        <v>2959</v>
      </c>
      <c r="B3024" s="2" t="str">
        <f>IFERROR(__xludf.DUMMYFUNCTION("GOOGLETRANSLATE(A3024, ""de"", ""uk"")"),"Хто тут з Ірану?")</f>
        <v>Хто тут з Ірану?</v>
      </c>
    </row>
    <row r="3025" ht="15.75" customHeight="1">
      <c r="A3025" s="4" t="s">
        <v>2960</v>
      </c>
      <c r="B3025" s="2" t="str">
        <f>IFERROR(__xludf.DUMMYFUNCTION("GOOGLETRANSLATE(A3025, ""de"", ""uk"")"),"У Палестині хороша їжа.")</f>
        <v>У Палестині хороша їжа.</v>
      </c>
    </row>
    <row r="3026" ht="15.75" customHeight="1">
      <c r="A3026" s="4" t="s">
        <v>2961</v>
      </c>
      <c r="B3026" s="2" t="str">
        <f>IFERROR(__xludf.DUMMYFUNCTION("GOOGLETRANSLATE(A3026, ""de"", ""uk"")"),"Я не хочу повертатися до Сирії.")</f>
        <v>Я не хочу повертатися до Сирії.</v>
      </c>
    </row>
    <row r="3027" ht="15.75" customHeight="1">
      <c r="A3027" s="4" t="s">
        <v>2962</v>
      </c>
      <c r="B3027" s="2" t="str">
        <f>IFERROR(__xludf.DUMMYFUNCTION("GOOGLETRANSLATE(A3027, ""de"", ""uk"")"),"Чечня знаходиться в Росії.")</f>
        <v>Чечня знаходиться в Росії.</v>
      </c>
    </row>
    <row r="3028" ht="15.75" customHeight="1">
      <c r="A3028" s="4" t="s">
        <v>2963</v>
      </c>
      <c r="B3028" s="2" t="str">
        <f>IFERROR(__xludf.DUMMYFUNCTION("GOOGLETRANSLATE(A3028, ""de"", ""uk"")"),"Афганістан не в Європі.")</f>
        <v>Афганістан не в Європі.</v>
      </c>
    </row>
    <row r="3029" ht="15.75" customHeight="1">
      <c r="A3029" s="4" t="s">
        <v>2964</v>
      </c>
      <c r="B3029" s="2" t="str">
        <f>IFERROR(__xludf.DUMMYFUNCTION("GOOGLETRANSLATE(A3029, ""de"", ""uk"")"),"Жінки родом із Сомалі.")</f>
        <v>Жінки родом із Сомалі.</v>
      </c>
    </row>
    <row r="3030" ht="15.75" customHeight="1">
      <c r="A3030" s="4" t="s">
        <v>2965</v>
      </c>
      <c r="B3030" s="2" t="str">
        <f>IFERROR(__xludf.DUMMYFUNCTION("GOOGLETRANSLATE(A3030, ""de"", ""uk"")"),"У Пакистані не можна платити євро.")</f>
        <v>У Пакистані не можна платити євро.</v>
      </c>
    </row>
    <row r="3031" ht="15.75" customHeight="1">
      <c r="A3031" s="4" t="s">
        <v>2966</v>
      </c>
      <c r="B3031" s="2" t="str">
        <f>IFERROR(__xludf.DUMMYFUNCTION("GOOGLETRANSLATE(A3031, ""de"", ""uk"")"),"В Індії багато людей говорять англійською.")</f>
        <v>В Індії багато людей говорять англійською.</v>
      </c>
    </row>
    <row r="3032" ht="15.75" customHeight="1">
      <c r="A3032" s="4" t="s">
        <v>2967</v>
      </c>
      <c r="B3032" s="2" t="str">
        <f>IFERROR(__xludf.DUMMYFUNCTION("GOOGLETRANSLATE(A3032, ""de"", ""uk"")"),"Європейці дуже багаті.")</f>
        <v>Європейці дуже багаті.</v>
      </c>
    </row>
    <row r="3033" ht="15.75" customHeight="1">
      <c r="A3033" s="4" t="s">
        <v>2968</v>
      </c>
      <c r="B3033" s="2" t="str">
        <f>IFERROR(__xludf.DUMMYFUNCTION("GOOGLETRANSLATE(A3033, ""de"", ""uk"")"),"Мені подобаються німці.")</f>
        <v>Мені подобаються німці.</v>
      </c>
    </row>
    <row r="3034" ht="15.75" customHeight="1">
      <c r="A3034" s="4" t="s">
        <v>2969</v>
      </c>
      <c r="B3034" s="2" t="str">
        <f>IFERROR(__xludf.DUMMYFUNCTION("GOOGLETRANSLATE(A3034, ""de"", ""uk"")"),"Я не люблю австрійців.")</f>
        <v>Я не люблю австрійців.</v>
      </c>
    </row>
    <row r="3035" ht="15.75" customHeight="1">
      <c r="A3035" s="4" t="s">
        <v>2970</v>
      </c>
      <c r="B3035" s="2" t="str">
        <f>IFERROR(__xludf.DUMMYFUNCTION("GOOGLETRANSLATE(A3035, ""de"", ""uk"")"),"Швейцарці роблять багато шоколаду.")</f>
        <v>Швейцарці роблять багато шоколаду.</v>
      </c>
    </row>
    <row r="3036" ht="15.75" customHeight="1">
      <c r="A3036" s="4" t="s">
        <v>2971</v>
      </c>
      <c r="B3036" s="2" t="str">
        <f>IFERROR(__xludf.DUMMYFUNCTION("GOOGLETRANSLATE(A3036, ""de"", ""uk"")"),"Бельгійці люблять їсти картоплю фрі.")</f>
        <v>Бельгійці люблять їсти картоплю фрі.</v>
      </c>
    </row>
    <row r="3037" ht="15.75" customHeight="1">
      <c r="A3037" s="4" t="s">
        <v>2972</v>
      </c>
      <c r="B3037" s="2" t="str">
        <f>IFERROR(__xludf.DUMMYFUNCTION("GOOGLETRANSLATE(A3037, ""de"", ""uk"")"),"Голландці люблять їсти сир.")</f>
        <v>Голландці люблять їсти сир.</v>
      </c>
    </row>
    <row r="3038" ht="15.75" customHeight="1">
      <c r="A3038" s="4" t="s">
        <v>2973</v>
      </c>
      <c r="B3038" s="2" t="str">
        <f>IFERROR(__xludf.DUMMYFUNCTION("GOOGLETRANSLATE(A3038, ""de"", ""uk"")"),"Британець погано грає у футбол.")</f>
        <v>Британець погано грає у футбол.</v>
      </c>
    </row>
    <row r="3039" ht="15.75" customHeight="1">
      <c r="A3039" s="4" t="s">
        <v>2974</v>
      </c>
      <c r="B3039" s="2" t="str">
        <f>IFERROR(__xludf.DUMMYFUNCTION("GOOGLETRANSLATE(A3039, ""de"", ""uk"")"),"Англійці живуть на острові.")</f>
        <v>Англійці живуть на острові.</v>
      </c>
    </row>
    <row r="3040" ht="15.75" customHeight="1">
      <c r="A3040" s="4" t="s">
        <v>2975</v>
      </c>
      <c r="B3040" s="2" t="str">
        <f>IFERROR(__xludf.DUMMYFUNCTION("GOOGLETRANSLATE(A3040, ""de"", ""uk"")"),"Француз любить подорожувати.")</f>
        <v>Француз любить подорожувати.</v>
      </c>
    </row>
    <row r="3041" ht="15.75" customHeight="1">
      <c r="A3041" s="4" t="s">
        <v>2976</v>
      </c>
      <c r="B3041" s="2" t="str">
        <f>IFERROR(__xludf.DUMMYFUNCTION("GOOGLETRANSLATE(A3041, ""de"", ""uk"")"),"Іспанці добре грають у футбол.")</f>
        <v>Іспанці добре грають у футбол.</v>
      </c>
    </row>
    <row r="3042" ht="15.75" customHeight="1">
      <c r="A3042" s="4" t="s">
        <v>2977</v>
      </c>
      <c r="B3042" s="2" t="str">
        <f>IFERROR(__xludf.DUMMYFUNCTION("GOOGLETRANSLATE(A3042, ""de"", ""uk"")"),"Італійці добре готують.")</f>
        <v>Італійці добре готують.</v>
      </c>
    </row>
    <row r="3043" ht="15.75" customHeight="1">
      <c r="A3043" s="4" t="s">
        <v>2978</v>
      </c>
      <c r="B3043" s="2" t="str">
        <f>IFERROR(__xludf.DUMMYFUNCTION("GOOGLETRANSLATE(A3043, ""de"", ""uk"")"),"Турки вміють добре танцювати.")</f>
        <v>Турки вміють добре танцювати.</v>
      </c>
    </row>
    <row r="3044" ht="15.75" customHeight="1">
      <c r="A3044" s="4" t="s">
        <v>2979</v>
      </c>
      <c r="B3044" s="2" t="str">
        <f>IFERROR(__xludf.DUMMYFUNCTION("GOOGLETRANSLATE(A3044, ""de"", ""uk"")"),"Багато росіян добре грають у шахи.")</f>
        <v>Багато росіян добре грають у шахи.</v>
      </c>
    </row>
    <row r="3045" ht="15.75" customHeight="1">
      <c r="A3045" s="4" t="s">
        <v>2980</v>
      </c>
      <c r="B3045" s="2" t="str">
        <f>IFERROR(__xludf.DUMMYFUNCTION("GOOGLETRANSLATE(A3045, ""de"", ""uk"")"),"Я не албанець.")</f>
        <v>Я не албанець.</v>
      </c>
    </row>
    <row r="3046" ht="15.75" customHeight="1">
      <c r="A3046" s="4" t="s">
        <v>2981</v>
      </c>
      <c r="B3046" s="2" t="str">
        <f>IFERROR(__xludf.DUMMYFUNCTION("GOOGLETRANSLATE(A3046, ""de"", ""uk"")"),"Серби – європейці.")</f>
        <v>Серби – європейці.</v>
      </c>
    </row>
    <row r="3047" ht="15.75" customHeight="1">
      <c r="A3047" s="4" t="s">
        <v>2982</v>
      </c>
      <c r="B3047" s="2" t="str">
        <f>IFERROR(__xludf.DUMMYFUNCTION("GOOGLETRANSLATE(A3047, ""de"", ""uk"")"),"Я знаю багато іранців.")</f>
        <v>Я знаю багато іранців.</v>
      </c>
    </row>
    <row r="3048" ht="15.75" customHeight="1">
      <c r="A3048" s="4" t="s">
        <v>2983</v>
      </c>
      <c r="B3048" s="2" t="str">
        <f>IFERROR(__xludf.DUMMYFUNCTION("GOOGLETRANSLATE(A3048, ""de"", ""uk"")"),"Він не знає палестинців.")</f>
        <v>Він не знає палестинців.</v>
      </c>
    </row>
    <row r="3049" ht="15.75" customHeight="1">
      <c r="A3049" s="4" t="s">
        <v>2984</v>
      </c>
      <c r="B3049" s="2" t="str">
        <f>IFERROR(__xludf.DUMMYFUNCTION("GOOGLETRANSLATE(A3049, ""de"", ""uk"")"),"У моїй компанії працює сирієць.")</f>
        <v>У моїй компанії працює сирієць.</v>
      </c>
    </row>
    <row r="3050" ht="15.75" customHeight="1">
      <c r="A3050" s="4" t="s">
        <v>2985</v>
      </c>
      <c r="B3050" s="2" t="str">
        <f>IFERROR(__xludf.DUMMYFUNCTION("GOOGLETRANSLATE(A3050, ""de"", ""uk"")"),"Моя мама чеченка.")</f>
        <v>Моя мама чеченка.</v>
      </c>
    </row>
    <row r="3051" ht="15.75" customHeight="1">
      <c r="A3051" s="4" t="s">
        <v>2986</v>
      </c>
      <c r="B3051" s="2" t="str">
        <f>IFERROR(__xludf.DUMMYFUNCTION("GOOGLETRANSLATE(A3051, ""de"", ""uk"")"),"Афганці добре вчаться в школі.")</f>
        <v>Афганці добре вчаться в школі.</v>
      </c>
    </row>
    <row r="3052" ht="15.75" customHeight="1">
      <c r="A3052" s="4" t="s">
        <v>2987</v>
      </c>
      <c r="B3052" s="2" t="str">
        <f>IFERROR(__xludf.DUMMYFUNCTION("GOOGLETRANSLATE(A3052, ""de"", ""uk"")"),"Сомалійські жінки хочуть вивчати німецьку мову.")</f>
        <v>Сомалійські жінки хочуть вивчати німецьку мову.</v>
      </c>
    </row>
    <row r="3053" ht="15.75" customHeight="1">
      <c r="A3053" s="4" t="s">
        <v>2988</v>
      </c>
      <c r="B3053" s="2" t="str">
        <f>IFERROR(__xludf.DUMMYFUNCTION("GOOGLETRANSLATE(A3053, ""de"", ""uk"")"),"Пакистанці йдуть на вокзал.")</f>
        <v>Пакистанці йдуть на вокзал.</v>
      </c>
    </row>
    <row r="3054" ht="15.75" customHeight="1">
      <c r="A3054" s="4" t="s">
        <v>2989</v>
      </c>
      <c r="B3054" s="2" t="str">
        <f>IFERROR(__xludf.DUMMYFUNCTION("GOOGLETRANSLATE(A3054, ""de"", ""uk"")"),"Індієць продає хороші комп'ютери.")</f>
        <v>Індієць продає хороші комп'ютери.</v>
      </c>
    </row>
    <row r="3055" ht="15.75" customHeight="1">
      <c r="A3055" s="4" t="s">
        <v>2990</v>
      </c>
      <c r="B3055" s="2" t="str">
        <f>IFERROR(__xludf.DUMMYFUNCTION("GOOGLETRANSLATE(A3055, ""de"", ""uk"")"),"Ти виглядаєш по-європейськи.")</f>
        <v>Ти виглядаєш по-європейськи.</v>
      </c>
    </row>
    <row r="3056" ht="15.75" customHeight="1">
      <c r="A3056" s="4" t="s">
        <v>2991</v>
      </c>
      <c r="B3056" s="2" t="str">
        <f>IFERROR(__xludf.DUMMYFUNCTION("GOOGLETRANSLATE(A3056, ""de"", ""uk"")"),"Це дуже німецько.")</f>
        <v>Це дуже німецько.</v>
      </c>
    </row>
    <row r="3057" ht="15.75" customHeight="1">
      <c r="A3057" s="4" t="s">
        <v>2992</v>
      </c>
      <c r="B3057" s="2" t="str">
        <f>IFERROR(__xludf.DUMMYFUNCTION("GOOGLETRANSLATE(A3057, ""de"", ""uk"")"),"Я розмовляю австрійською.")</f>
        <v>Я розмовляю австрійською.</v>
      </c>
    </row>
    <row r="3058" ht="15.75" customHeight="1">
      <c r="A3058" s="4" t="s">
        <v>2993</v>
      </c>
      <c r="B3058" s="2" t="str">
        <f>IFERROR(__xludf.DUMMYFUNCTION("GOOGLETRANSLATE(A3058, ""de"", ""uk"")"),"Це швейцарський шоколад.")</f>
        <v>Це швейцарський шоколад.</v>
      </c>
    </row>
    <row r="3059" ht="15.75" customHeight="1">
      <c r="A3059" s="4" t="s">
        <v>2994</v>
      </c>
      <c r="B3059" s="2" t="str">
        <f>IFERROR(__xludf.DUMMYFUNCTION("GOOGLETRANSLATE(A3059, ""de"", ""uk"")"),"Це бельгійське слово.")</f>
        <v>Це бельгійське слово.</v>
      </c>
    </row>
    <row r="3060" ht="15.75" customHeight="1">
      <c r="A3060" s="4" t="s">
        <v>2995</v>
      </c>
      <c r="B3060" s="2" t="str">
        <f>IFERROR(__xludf.DUMMYFUNCTION("GOOGLETRANSLATE(A3060, ""de"", ""uk"")"),"Я люблю їсти голландський сир.")</f>
        <v>Я люблю їсти голландський сир.</v>
      </c>
    </row>
    <row r="3061" ht="15.75" customHeight="1">
      <c r="A3061" s="4" t="s">
        <v>2996</v>
      </c>
      <c r="B3061" s="2" t="str">
        <f>IFERROR(__xludf.DUMMYFUNCTION("GOOGLETRANSLATE(A3061, ""de"", ""uk"")"),"Це британська компанія.")</f>
        <v>Це британська компанія.</v>
      </c>
    </row>
    <row r="3062" ht="15.75" customHeight="1">
      <c r="A3062" s="4" t="s">
        <v>2997</v>
      </c>
      <c r="B3062" s="2" t="str">
        <f>IFERROR(__xludf.DUMMYFUNCTION("GOOGLETRANSLATE(A3062, ""de"", ""uk"")"),"Я не розмовляю англійською.")</f>
        <v>Я не розмовляю англійською.</v>
      </c>
    </row>
    <row r="3063" ht="15.75" customHeight="1">
      <c r="A3063" s="4" t="s">
        <v>2998</v>
      </c>
      <c r="B3063" s="2" t="str">
        <f>IFERROR(__xludf.DUMMYFUNCTION("GOOGLETRANSLATE(A3063, ""de"", ""uk"")"),"На жаль, я не розумію французької.")</f>
        <v>На жаль, я не розумію французької.</v>
      </c>
    </row>
    <row r="3064" ht="15.75" customHeight="1">
      <c r="A3064" s="4" t="s">
        <v>2999</v>
      </c>
      <c r="B3064" s="2" t="str">
        <f>IFERROR(__xludf.DUMMYFUNCTION("GOOGLETRANSLATE(A3064, ""de"", ""uk"")"),"Італійська кухня дуже смачна.")</f>
        <v>Італійська кухня дуже смачна.</v>
      </c>
    </row>
    <row r="3065" ht="15.75" customHeight="1">
      <c r="A3065" s="4" t="s">
        <v>3000</v>
      </c>
      <c r="B3065" s="2" t="str">
        <f>IFERROR(__xludf.DUMMYFUNCTION("GOOGLETRANSLATE(A3065, ""de"", ""uk"")"),"Іспанські вина найкращі.")</f>
        <v>Іспанські вина найкращі.</v>
      </c>
    </row>
    <row r="3066" ht="15.75" customHeight="1">
      <c r="A3066" s="4" t="s">
        <v>3001</v>
      </c>
      <c r="B3066" s="2" t="str">
        <f>IFERROR(__xludf.DUMMYFUNCTION("GOOGLETRANSLATE(A3066, ""de"", ""uk"")"),"У мене чоловік турок.")</f>
        <v>У мене чоловік турок.</v>
      </c>
    </row>
    <row r="3067" ht="15.75" customHeight="1">
      <c r="A3067" s="4" t="s">
        <v>3002</v>
      </c>
      <c r="B3067" s="2" t="str">
        <f>IFERROR(__xludf.DUMMYFUNCTION("GOOGLETRANSLATE(A3067, ""de"", ""uk"")"),"Це німецько-російський словник.")</f>
        <v>Це німецько-російський словник.</v>
      </c>
    </row>
    <row r="3068" ht="15.75" customHeight="1">
      <c r="A3068" s="4" t="s">
        <v>3003</v>
      </c>
      <c r="B3068" s="2" t="str">
        <f>IFERROR(__xludf.DUMMYFUNCTION("GOOGLETRANSLATE(A3068, ""de"", ""uk"")"),"Що це означає албанською?")</f>
        <v>Що це означає албанською?</v>
      </c>
    </row>
    <row r="3069" ht="15.75" customHeight="1">
      <c r="A3069" s="4" t="s">
        <v>3004</v>
      </c>
      <c r="B3069" s="2" t="str">
        <f>IFERROR(__xludf.DUMMYFUNCTION("GOOGLETRANSLATE(A3069, ""de"", ""uk"")"),"Сербську ми вивчаємо в школі.")</f>
        <v>Сербську ми вивчаємо в школі.</v>
      </c>
    </row>
    <row r="3070" ht="15.75" customHeight="1">
      <c r="A3070" s="4" t="s">
        <v>3005</v>
      </c>
      <c r="B3070" s="2" t="str">
        <f>IFERROR(__xludf.DUMMYFUNCTION("GOOGLETRANSLATE(A3070, ""de"", ""uk"")"),"Я думаю, що це іранський.")</f>
        <v>Я думаю, що це іранський.</v>
      </c>
    </row>
    <row r="3071" ht="15.75" customHeight="1">
      <c r="A3071" s="4" t="s">
        <v>3006</v>
      </c>
      <c r="B3071" s="2" t="str">
        <f>IFERROR(__xludf.DUMMYFUNCTION("GOOGLETRANSLATE(A3071, ""de"", ""uk"")"),"Це палестинські жінки.")</f>
        <v>Це палестинські жінки.</v>
      </c>
    </row>
    <row r="3072" ht="15.75" customHeight="1">
      <c r="A3072" s="4" t="s">
        <v>3007</v>
      </c>
      <c r="B3072" s="2" t="str">
        <f>IFERROR(__xludf.DUMMYFUNCTION("GOOGLETRANSLATE(A3072, ""de"", ""uk"")"),"Це сирійський фрукт.")</f>
        <v>Це сирійський фрукт.</v>
      </c>
    </row>
    <row r="3073" ht="15.75" customHeight="1">
      <c r="A3073" s="4" t="s">
        <v>3008</v>
      </c>
      <c r="B3073" s="2" t="str">
        <f>IFERROR(__xludf.DUMMYFUNCTION("GOOGLETRANSLATE(A3073, ""de"", ""uk"")"),"Ви розмовляєте чеченською?")</f>
        <v>Ви розмовляєте чеченською?</v>
      </c>
    </row>
    <row r="3074" ht="15.75" customHeight="1">
      <c r="A3074" s="4" t="s">
        <v>3009</v>
      </c>
      <c r="B3074" s="2" t="str">
        <f>IFERROR(__xludf.DUMMYFUNCTION("GOOGLETRANSLATE(A3074, ""de"", ""uk"")"),"Афганський народ дуже дружній.")</f>
        <v>Афганський народ дуже дружній.</v>
      </c>
    </row>
    <row r="3075" ht="15.75" customHeight="1">
      <c r="A3075" s="4" t="s">
        <v>3010</v>
      </c>
      <c r="B3075" s="2" t="str">
        <f>IFERROR(__xludf.DUMMYFUNCTION("GOOGLETRANSLATE(A3075, ""de"", ""uk"")"),"Що означає сир у сомалійській мові?")</f>
        <v>Що означає сир у сомалійській мові?</v>
      </c>
    </row>
    <row r="3076" ht="15.75" customHeight="1">
      <c r="A3076" s="4" t="s">
        <v>3011</v>
      </c>
      <c r="B3076" s="2" t="str">
        <f>IFERROR(__xludf.DUMMYFUNCTION("GOOGLETRANSLATE(A3076, ""de"", ""uk"")"),"Пакистанська їжа дуже гостра.")</f>
        <v>Пакистанська їжа дуже гостра.</v>
      </c>
    </row>
    <row r="3077" ht="15.75" customHeight="1">
      <c r="A3077" s="4" t="s">
        <v>3012</v>
      </c>
      <c r="B3077" s="2" t="str">
        <f>IFERROR(__xludf.DUMMYFUNCTION("GOOGLETRANSLATE(A3077, ""de"", ""uk"")"),"Індійські чоловіки багато працюють.")</f>
        <v>Індійські чоловіки багато працюють.</v>
      </c>
    </row>
    <row r="3078" ht="15.75" customHeight="1">
      <c r="A3078" s="4" t="s">
        <v>3013</v>
      </c>
      <c r="B3078" s="2" t="str">
        <f>IFERROR(__xludf.DUMMYFUNCTION("GOOGLETRANSLATE(A3078, ""de"", ""uk"")"),"Німеччина дуже інтернаціональна.")</f>
        <v>Німеччина дуже інтернаціональна.</v>
      </c>
    </row>
  </sheetData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