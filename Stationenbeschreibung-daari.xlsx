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3" sheetId="1" r:id="rId4"/>
    <sheet state="visible" name="Tabelle2" sheetId="2" r:id="rId5"/>
    <sheet state="visible" name="Tabelle1" sheetId="3" r:id="rId6"/>
  </sheets>
  <definedNames>
    <definedName localSheetId="0" name="ExterneDaten_2">Tabelle3!$A$1:$F$101</definedName>
    <definedName localSheetId="1" name="ExterneDaten_1">Tabelle2!$A$1:$F$101</definedName>
  </definedNames>
  <calcPr/>
</workbook>
</file>

<file path=xl/sharedStrings.xml><?xml version="1.0" encoding="utf-8"?>
<sst xmlns="http://schemas.openxmlformats.org/spreadsheetml/2006/main" count="612" uniqueCount="514">
  <si>
    <t>Nr</t>
  </si>
  <si>
    <t>Station</t>
  </si>
  <si>
    <t>Ort</t>
  </si>
  <si>
    <t>Latitude</t>
  </si>
  <si>
    <t>Longitude</t>
  </si>
  <si>
    <t>Erklärung</t>
  </si>
  <si>
    <t>Main Tower</t>
  </si>
  <si>
    <t>Frankfurt – Main Tower</t>
  </si>
  <si>
    <t>Der Main Tower in Frankfurt am Main ist ein 200 Meter hoher Wolkenkratzer mit öffentlich zugänglicher Aussichtsplattform. Das 2000 eröffnete Hochhaus prägt mit seiner Glasfassade die Frankfurter Skyline und zählt zu den höchsten Gebäuden Deutschlands; von 198 Metern Höhe genießt man einen Rundblick über die Stadt.</t>
  </si>
  <si>
    <t>Finanzmetropole</t>
  </si>
  <si>
    <t>Frankfurt – Römer</t>
  </si>
  <si>
    <t>Frankfurt am Main zählt als Finanzmetropole zu den wichtigsten Bankenstandorten Europas. Sitz der Europäischen Zentralbank und zahlreicher Großbanken, verleiht die Skyline mit den meisten Wolkenkratzern Deutschlands der Stadt den Spitznamen „Mainhattan“.</t>
  </si>
  <si>
    <t>Kurtradition</t>
  </si>
  <si>
    <t>Wiesbaden – Kurhaus</t>
  </si>
  <si>
    <t>Wiesbaden gilt seit dem 19. Jahrhundert als mondäne Kurstadt. Das neoklassizistische Kurhaus von 1907, Thermalquellen und weitläufige Kurparks spiegeln bis heute die historische Wellness-Kultur wider.</t>
  </si>
  <si>
    <t>Johannes Gutenberg</t>
  </si>
  <si>
    <t>Mainz – Gutenberg-Museum</t>
  </si>
  <si>
    <t>Johannes Gutenberg revolutionierte um 1450 in Mainz den Buchdruck mit beweglichen Lettern. Das Gutenberg-Museum zeigt u. a. zwei Gutenberg-Bibeln und demonstriert an historischen Pressen die Technik, die das Lesen weltweit veränderte.</t>
  </si>
  <si>
    <t>Weinfest</t>
  </si>
  <si>
    <t>Rüdesheim – Drosselgasse</t>
  </si>
  <si>
    <t>Die Drosselgasse in Rüdesheim ist eine 144 Meter lange Fachwerkgasse voller Weinstuben. Ihre Weinfeste mit Live-Musik repräsentieren die gesellige Rheingauer Weinkultur.</t>
  </si>
  <si>
    <t>Helene Fischer</t>
  </si>
  <si>
    <t>Wöllstein – Geburtsort</t>
  </si>
  <si>
    <t>Helene Fischer (*1984) wuchs in Wöllstein auf und wurde zur erfolgreichsten deutschen Schlagersängerin. Hits wie „Atemlos durch die Nacht“ und zahlreiche Auszeichnungen prägen ihre Karriere.</t>
  </si>
  <si>
    <t>Loreley</t>
  </si>
  <si>
    <t>St. Goar – Loreleyfelsen</t>
  </si>
  <si>
    <t>Der 132 Meter hohe Loreley-Felsen am Rhein ist sagenumwoben: Eine Nixe soll mit ihrem Gesang Schiffer ins Verderben gelockt haben. Heute ist der Aussichtspunkt Teil des UNESCO-Welterbes Oberes Mittelrheintal.</t>
  </si>
  <si>
    <t>Weinbau</t>
  </si>
  <si>
    <t>Boppard – Rheinschleife</t>
  </si>
  <si>
    <t>An der Rheinschleife bei Boppard wachsen auf steilen Schieferhängen Riesling-Reben. Der Bopparder Hamm dokumentiert seit Jahrhunderten die Weinbautradition des Mittelrheins.</t>
  </si>
  <si>
    <t>Deutsches Eck</t>
  </si>
  <si>
    <t>Koblenz – Deutsches Eck</t>
  </si>
  <si>
    <t>Am Deutschen Eck fließen Mosel und Rhein zusammen. Das Reiterstandbild Kaiser Wilhelms I. (1897) erinnert an die Reichsgründung und wurde nach 1945 zum Symbol der deutschen Einheit.</t>
  </si>
  <si>
    <t>Autobahn Erlebnis</t>
  </si>
  <si>
    <t>Nürburgring – GP-Strecke</t>
  </si>
  <si>
    <t>Deutschlands Autobahnen sind für fehlende Tempolimits bekannt. Auf der Nordschleife des Nürburgrings können Fahrer Hochgeschwindigkeit legal erleben – ein kontrolliertes Pendant zum Autobahnrausch.</t>
  </si>
  <si>
    <t>Beethoven</t>
  </si>
  <si>
    <t>Bonn – Beethoven-Haus</t>
  </si>
  <si>
    <t>Ludwig van Beethoven (1770–1827) wurde in Bonn geboren. Sein Geburtshaus bewahrt Originalinstrumente und Handschriften des Komponisten, dessen Werke die klassische Musik bis heute prägen.</t>
  </si>
  <si>
    <t>Kölner Karneval</t>
  </si>
  <si>
    <t>Köln – Alter Markt</t>
  </si>
  <si>
    <t>Der Kölner Karneval, seit 1823 organisiert, verwandelt die Stadt vom 11. 11. bis Aschermittwoch in ein buntes Volksfest. Höhepunkt ist der Rosenmontagszug mit Hunderttausenden kostümierten Jecken.</t>
  </si>
  <si>
    <t>Konrad Adenauer</t>
  </si>
  <si>
    <t>Köln – Adenauer-Haus</t>
  </si>
  <si>
    <t>Konrad Adenauer (1876–1967) war Kölner Oberbürgermeister und erster Bundeskanzler der Bundesrepublik. Sein Wohnhaus in Rhöndorf erzählt von seinem Einsatz für Wiederaufbau und Westbindung.</t>
  </si>
  <si>
    <t>Neandertaler Fund</t>
  </si>
  <si>
    <t>Mettmann – Neanderthal Museum</t>
  </si>
  <si>
    <t>Der 1856 gefundene Neandertaler-Schädel revolutionierte das Verständnis menschlicher Evolution. Das Neanderthal Museum veranschaulicht die Geschichte unserer fossilen Verwandten.</t>
  </si>
  <si>
    <t>Rheinmetropole</t>
  </si>
  <si>
    <t>Düsseldorf – Rheinturm</t>
  </si>
  <si>
    <t>Düsseldorf verbindet Altstadt, Mode- und Messekultur mit moderner Architektur im Medienhafen. Der Rheinturm bietet einen Panoramablick auf die Rheinmetropole und ihre Kunst- und Shopping-Szene.</t>
  </si>
  <si>
    <t>Stahl &amp; Kultur</t>
  </si>
  <si>
    <t>Duisburg – Innenhafen</t>
  </si>
  <si>
    <t>Der Duisburger Innenhafen, einst Speicher- und Handelshafen, wurde zum Kultur- und Büroquartier umgestaltet. Restaurierte Speicher und Museen zeigen den erfolgreichen Strukturwandel von Stahl zu Kultur.</t>
  </si>
  <si>
    <t>Ruhrindustrie</t>
  </si>
  <si>
    <t>Essen – Zeche Zollverein</t>
  </si>
  <si>
    <t>Die stillgelegte Zeche Zollverein, ein Bauhaus-Industrie-Ensemble, ist UNESCO-Welterbe. Ausstellungen und Events lassen die Bergbaugeschichte des Ruhrgebiets lebendig werden.</t>
  </si>
  <si>
    <t>UNESCO Zollverein</t>
  </si>
  <si>
    <t>Essen – Kokerei Zollverein</t>
  </si>
  <si>
    <t>Die Kokerei Zollverein verarbeitete bis 1993 Kohle zu Koks und ist heute Teil des Weltkulturerbes. Besucher erkunden Fördertürme, Öfen und Aussichtsplattformen eines herausragenden Industriedenkmals.</t>
  </si>
  <si>
    <t>Fußball Bundesliga</t>
  </si>
  <si>
    <t>Dortmund – Signal Iduna Park</t>
  </si>
  <si>
    <t>Borussia Dortmunds Stadion mit der legendären „Gelben Wand“ steht für die Fankultur der Fußball-Bundesliga, die seit 1963 Millionen begeistert.</t>
  </si>
  <si>
    <t>Westfälische Fachwerkstadt</t>
  </si>
  <si>
    <t>Münster – Prinzipalmarkt</t>
  </si>
  <si>
    <t>Münsters Prinzipalmarkt mit Giebelhäusern und Arkaden, Rathaus und Lambertikirche vereint mittelalterliche Baukunst und Wiederaufbau. Fahrräder und Friedensgeschichte prägen das Stadtbild.</t>
  </si>
  <si>
    <t>Teutoburger Wald</t>
  </si>
  <si>
    <t>Bielefeld – Sparrenburg</t>
  </si>
  <si>
    <t>Die mittelalterliche Sparrenburg überragt Bielefeld am Rand des Teutoburger Waldes, der durch die Varusschlacht (9 n. Chr.) historisch bekannt ist.</t>
  </si>
  <si>
    <t>Moderne Stadt</t>
  </si>
  <si>
    <t>Hannover – Neues Rathaus</t>
  </si>
  <si>
    <t>Hannovers wilhelminisches Neues Rathaus (1913) symbolisiert den Wiederaufbau der Stadt, die heute Messestandort und grüne Großstadt mit den Herrenhäuser Gärten ist.</t>
  </si>
  <si>
    <t>Hannah Arendt</t>
  </si>
  <si>
    <t>Hannover – H.-Arendt-Platz</t>
  </si>
  <si>
    <t>Die politische Theoretikerin Hannah Arendt (1906–1975) wurde in Hannover geboren. Der Hannah-Arendt-Platz mahnt an Demokratie, Freiheit und Verantwortung.</t>
  </si>
  <si>
    <t>Expo 2000</t>
  </si>
  <si>
    <t>Hannover – Expo-Park</t>
  </si>
  <si>
    <t>Die Expo 2000 war die erste Weltausstellung in Deutschland. Pavillons und Neubauten im Expo-Park erinnern an innovative Konzepte zu Mensch, Natur und Technik.</t>
  </si>
  <si>
    <t>Schloss Herrenhausen</t>
  </si>
  <si>
    <t>Hannover – Herrenhausen</t>
  </si>
  <si>
    <t>Das rekonstruierte Schloss Herrenhausen liegt inmitten der berühmten barocken Herrenhäuser Gärten mit Wasserspielen und Botanischem Berggarten.</t>
  </si>
  <si>
    <t>Braunschweig – Schloss</t>
  </si>
  <si>
    <t>Die Fassade des im Krieg zerstörten Welfenschlosses wurde 2007 vor ein modernes Einkaufs- und Kulturzentrum gesetzt – ein Beispiel für Tradition im neuen Gewand.</t>
  </si>
  <si>
    <t>Planetarium</t>
  </si>
  <si>
    <t>Wolfsburg – Phaeno</t>
  </si>
  <si>
    <t>Das von Zaha Hadid entworfene Phaeno Science Center inszeniert Naturphänomene interaktiv. Es ergänzt Wolfsburgs Autostadt und die VW-Historie um Wissenschaftserlebnisse.</t>
  </si>
  <si>
    <t>Volkswagen-Gründung</t>
  </si>
  <si>
    <t>Wolfsburg – Autostadt</t>
  </si>
  <si>
    <t>1938 als Standort für den VW-Käfer gegründet, erzählt Wolfsburgs Autostadt mit Pavillons und Oldtimern die Geschichte des Konzerns und des Automobils.</t>
  </si>
  <si>
    <t>Harz &amp; Bergbau</t>
  </si>
  <si>
    <t>Goslar – Altstadt</t>
  </si>
  <si>
    <t>Die Fachwerk-Altstadt Goslars und das Erzbergwerk Rammelsberg bilden ein gemeinsames UNESCO-Welterbe: ein Jahrtausend Harzer Erzbergbau trifft mittelalterliche Kaiserstadt.</t>
  </si>
  <si>
    <t>Universitätsstadt</t>
  </si>
  <si>
    <t>Göttingen – Gänseliesel</t>
  </si>
  <si>
    <t>Seit 1737 prägt die Universität Göttingen die Stadt. Der Gänseliesel-Brunnen gilt als „meistgeküsstes Mädchen der Welt“, denn frisch promovierte Doktoranden küssen die Statue.</t>
  </si>
  <si>
    <t>Brüder Grimm</t>
  </si>
  <si>
    <t>Kassel – Grimm-Museum</t>
  </si>
  <si>
    <t>In Kassel sammelten Jacob und Wilhelm Grimm ihre weltberühmten Märchen. Die Grimmwelt präsentiert Manuskripte und sprachwissenschaftliches Erbe.</t>
  </si>
  <si>
    <t>Documenta</t>
  </si>
  <si>
    <t>Kassel – Friedrichsplatz</t>
  </si>
  <si>
    <t>Die alle fünf Jahre stattfindende documenta macht Kassel zur Welthauptstadt zeitgenössischer Kunst und verwandelt die Stadt in ein riesiges Open-Air-Museum.</t>
  </si>
  <si>
    <t>Landgrafenkunst</t>
  </si>
  <si>
    <t>Kassel – Bergpark Wilhelmshöhe</t>
  </si>
  <si>
    <t>Europas größter Hangpark mit Herkules-Statue und barocken Wasserspielen ist UNESCO-Welterbe und Zeugnis landgräflicher Gartenkunst.</t>
  </si>
  <si>
    <t>Wartburgfest</t>
  </si>
  <si>
    <t>Eisenach – Wartburg</t>
  </si>
  <si>
    <t>1817 forderten Studenten auf der Wartburg nationale Einheit und Freiheitsrechte. Die Burg ist auch durch Luthers Bibelübersetzung berühmt.</t>
  </si>
  <si>
    <t>Lutherische Kirchenkunst</t>
  </si>
  <si>
    <t>Erfurt – Dom</t>
  </si>
  <si>
    <t>Der gotische Erfurter Dom beherbergt die Gloriosa, größte freischwingende mittelalterliche Glocke. Hier wurde Martin Luther 1507 zum Priester geweiht.</t>
  </si>
  <si>
    <t>Goethe</t>
  </si>
  <si>
    <t>Weimar – Goethe-Haus</t>
  </si>
  <si>
    <t>Goethes Wohnhaus zeigt originale Räume und Sammlungen des Dichters, der mit Schiller die Weimarer Klassik prägte.</t>
  </si>
  <si>
    <t>Hyperinflation 1923</t>
  </si>
  <si>
    <t>Weimar – DNT</t>
  </si>
  <si>
    <t>Die Geldentwertung der Weimarer Republik erreichte 1923 ihren Höhepunkt: Preise explodierten, Ersparnisse verfielen – ein Trauma deutscher Wirtschaftsgeschichte.</t>
  </si>
  <si>
    <t>Rennsteig</t>
  </si>
  <si>
    <t>Thüringer Wald – Rennsteig</t>
  </si>
  <si>
    <t>Der 170 km lange Rennsteig-Kammweg ist ältester Fernwanderweg Deutschlands und verbindet Kultur- und Naturlandschaften des Thüringer Waldes.</t>
  </si>
  <si>
    <t>Glasmacherkunst</t>
  </si>
  <si>
    <t>Lauscha – Glasbläserwerkstatt</t>
  </si>
  <si>
    <t>Lauscha gilt als Geburtsort der gläsernen Christbaumkugel. Seit 1597 pflegen Familienbetriebe hier die Kunst des Glasblasens.</t>
  </si>
  <si>
    <t>Barockschloss</t>
  </si>
  <si>
    <t>Coburg – Veste Coburg</t>
  </si>
  <si>
    <t>Die Veste Coburg, eine der größten Burgen Deutschlands, beherbergt Kunstsammlungen und war 1530 Luther-Fluchtort.</t>
  </si>
  <si>
    <t>Biertradition</t>
  </si>
  <si>
    <t>Kulmbach – Mönchshof</t>
  </si>
  <si>
    <t>Kulmbach präsentiert im Bayerischen Brauereimuseum Starkbier- und Eisbock-Tradition und feiert jährlich die Bierwoche.</t>
  </si>
  <si>
    <t>Biertradition2</t>
  </si>
  <si>
    <t>Kulmbach – Brauerei</t>
  </si>
  <si>
    <t>Fränkische Braukunst mit Reinheitsgebot: Kulmbacher Starkbiere genießen internationalen Ruf und prägen lokale Identität.</t>
  </si>
  <si>
    <t>Markgrafenkunst</t>
  </si>
  <si>
    <t>Bayreuth – Opernhaus</t>
  </si>
  <si>
    <t>Das Markgräfliche Opernhaus (1748) ist ein vollständig erhaltenes Barocktheater und UNESCO-Welterbe – ein Juwel höfischer Festkultur.</t>
  </si>
  <si>
    <t>Richard Wagner</t>
  </si>
  <si>
    <t>Bayreuth – Festspielhaus</t>
  </si>
  <si>
    <t>Das 1876 eröffnete Festspielhaus, akustisch auf Wagners Musikdramen ausgelegt, zieht Opernliebhaber aus aller Welt zu den Bayreuther Festspielen.</t>
  </si>
  <si>
    <t>Fränkische Schweiz</t>
  </si>
  <si>
    <t>Pottenstein – Teufelshöhle</t>
  </si>
  <si>
    <t>Die zerklüftete Karstlandschaft mit Tropfsteinhöhlen und Burgruinen ist seit dem 19. Jh. ein beliebtes Wander- und Klettergebiet.</t>
  </si>
  <si>
    <t>UNESCO-Altstadt</t>
  </si>
  <si>
    <t>Bamberg – Altstadt</t>
  </si>
  <si>
    <t>Bambergs sieben-hügelige Altstadt mit romanischem Dom und Rathaus in der Regnitz gilt als größtes unzerstörtes historisches Stadtbild Deutschlands.</t>
  </si>
  <si>
    <t>Weihnachtsmarkt</t>
  </si>
  <si>
    <t>Nürnberg – Hauptmarkt</t>
  </si>
  <si>
    <t>Der Nürnberger Christkindlesmarkt, seit dem 16. Jh. belegt, lockt mit Lebkuchen und Holzspielzeug jährlich zwei Millionen Besucher.</t>
  </si>
  <si>
    <t>Holocaust-Dokumentation</t>
  </si>
  <si>
    <t>Nürnberg – Memorium</t>
  </si>
  <si>
    <t>Das Memorium Nürnberger Prozesse erinnert in Saal 600 an die juristische Aufarbeitung der NS-Verbrechen und die Geburtsstunde des Völkerstrafrechts.</t>
  </si>
  <si>
    <t>Bier Reinheitsgebot</t>
  </si>
  <si>
    <t>Ingolstadt – Herzogskasten</t>
  </si>
  <si>
    <t>1516 verkündeten bayerische Herzöge in Ingolstadt das Reinheitsgebot: Bier darf nur aus Wasser, Gerste, Hopfen bestehen – älteste Lebensmittelvorschrift der Welt.</t>
  </si>
  <si>
    <t>Fußball Allianz Arena</t>
  </si>
  <si>
    <t>München – Allianz Arena</t>
  </si>
  <si>
    <t>Die 2005 eröffnete Allianz Arena mit licht­durch­lässiger Außenhaut ist Heim des FC Bayern und eines der markantesten Stadien Europas.</t>
  </si>
  <si>
    <t>Olympia 1972</t>
  </si>
  <si>
    <t>München – Olympiapark</t>
  </si>
  <si>
    <t>Die Spiele von 1972 setzten mit ihrer Zeltdach-Architektur neue Maßstäbe; das Attentat auf die israelische Mannschaft prägte die Erinnerung an das moderne Areal.</t>
  </si>
  <si>
    <t>Sophie Scholl</t>
  </si>
  <si>
    <t>München – LMU</t>
  </si>
  <si>
    <t>Sophie Scholl verteilte 1943 Flugblätter der „Weißen Rose“ an der LMU. Heute mahnen Gedenktafeln an ihren mutigen Widerstand gegen das NS-Regime.</t>
  </si>
  <si>
    <t>Oktoberfest</t>
  </si>
  <si>
    <t>München – Theresienwiese</t>
  </si>
  <si>
    <t>Seit 1810 feiert München das Oktoberfest. Riesige Bierzelte, Fahrgeschäfte und Trachten ziehen jährlich Millionen Besucher an.</t>
  </si>
  <si>
    <t>Schloss Neuschwanstein</t>
  </si>
  <si>
    <t>Schwangau – Neuschwanstein</t>
  </si>
  <si>
    <t>König Ludwigs Märchenschloss (ab 1869) verkörpert romantischen Historismus in alpiner Kulisse und diente als Vorbild für das Disney-Schloss.</t>
  </si>
  <si>
    <t>Zeppelinflug 1900</t>
  </si>
  <si>
    <t>Friedrichshafen – Zeppelin Museum</t>
  </si>
  <si>
    <t>Hier startete 1900 der erste Zeppelin der Welt. Das Museum zeigt Exponate zur Luftschiffära, darunter ein Teilstück der „Hindenburg“.</t>
  </si>
  <si>
    <t>Albert Einstein</t>
  </si>
  <si>
    <t>Ulm – Einstein-Brunnen</t>
  </si>
  <si>
    <t>Albert Einstein, 1879 in Ulm geboren, revolutionierte mit Relativitäts- und Quantentheorie die Physik. Der Brunnen erinnert an das Genie.</t>
  </si>
  <si>
    <t>Cannstatter Wasen</t>
  </si>
  <si>
    <t>Stuttgart – Wasen</t>
  </si>
  <si>
    <t>Das Cannstatter Volksfest (seit 1818) ist nach dem Oktoberfest das zweitgrößte deutsche Bier- und Volksfest und zieht jährlich rund vier Millionen Gäste an.</t>
  </si>
  <si>
    <t>Heidelberg – Schloss</t>
  </si>
  <si>
    <t>Die romantische Schlossruine über dem Neckar war Residenz der Kurfürsten. Ihre Renaissance-Fassaden und das Große Fass begeisterten schon Goethe.</t>
  </si>
  <si>
    <t>Carl Benz</t>
  </si>
  <si>
    <t>Mannheim – Carl-Benz-Haus</t>
  </si>
  <si>
    <t>Carl Benz baute 1885/86 in Mannheim den ersten praxistauglichen Motorwagen. Bertha Benz’ erste Fernfahrt bewies seine Alltagstauglichkeit.</t>
  </si>
  <si>
    <t>Barocke Stadt</t>
  </si>
  <si>
    <t>Würzburg – Residenz</t>
  </si>
  <si>
    <t>Die Würzburger Residenz (1720–1744) mit Tiepolo-Fresko und Spiegelsaal gilt als Hauptwerk des süddeutschen Barock und ist UNESCO-Welterbe.</t>
  </si>
  <si>
    <t>Schwarzwälder Kirschtorte</t>
  </si>
  <si>
    <t>Triberg – Café Schäfer</t>
  </si>
  <si>
    <t>Im Schwarzwald entstand die Sahne-Schokoladen-Kirschtorte mit Kirschwasser. Das Café Schäfer serviert sie nach historischem Rezept.</t>
  </si>
  <si>
    <t>Aachener Dom</t>
  </si>
  <si>
    <t>Aachen – Dom</t>
  </si>
  <si>
    <t>Karls Pfalzkapelle (8./9. Jh.) und gotischer Chor sind erstes deutsches UNESCO-Welterbe. Über 30 deutsche Könige wurden hier gekrönt.</t>
  </si>
  <si>
    <t>UNESCO Dombezirk</t>
  </si>
  <si>
    <t>Aachen – Dombezirk</t>
  </si>
  <si>
    <t>Der Aachener Domschatz mit Karlsschrein und Marienschrein zählt zu den bedeutendsten Kirchenschätzen Europas und ergänzt den Weltkulturerbe-Dom.</t>
  </si>
  <si>
    <t>Lutherstadt</t>
  </si>
  <si>
    <t>Eisleben – Gedenkstätten</t>
  </si>
  <si>
    <t>Luthers Geburts- und Sterbehäuser in Eisleben sind UNESCO-Welterbe und dokumentieren Leben und Wirkung des Reformators.</t>
  </si>
  <si>
    <t>Architektur­moderne</t>
  </si>
  <si>
    <t>Dessau – Meisterhäuser</t>
  </si>
  <si>
    <t>Die Meisterhäuser (1925/26) von Gropius für Bauhaus-Lehrer wie Kandinsky repräsentieren funktionale Bauhaus-Architektur im Originalzustand.</t>
  </si>
  <si>
    <t>Bauhaus-Gründung</t>
  </si>
  <si>
    <t>Dessau – Bauhaus</t>
  </si>
  <si>
    <t>Das Bauhausgebäude (1926) mit Glasfassade steht für die Verschmelzung von Kunst, Handwerk und Industrie – ein Meilenstein der Moderne.</t>
  </si>
  <si>
    <t>Reformation</t>
  </si>
  <si>
    <t>Lutherstadt Wittenberg – Schlosskirche</t>
  </si>
  <si>
    <t>Luthers 95 Thesen von 1517 an der Schlosskirche lösten die Reformation aus und veränderten Kirche und Gesellschaft nachhaltig.</t>
  </si>
  <si>
    <t>Jazzfest</t>
  </si>
  <si>
    <t>Leipzig – Moritzbastei</t>
  </si>
  <si>
    <t>Die Leipziger Jazztage (seit 1976) holen internationale Jazzgrößen in historische Spielstätten wie die unterirdische Moritzbastei.</t>
  </si>
  <si>
    <t>Johann Sebastian Bach</t>
  </si>
  <si>
    <t>Leipzig – Bach-Museum</t>
  </si>
  <si>
    <t>Bach wirkte ab 1723 als Thomaskantor in Leipzig. Das Museum zeigt Handschriften und Instrumente des Barockkomponisten.</t>
  </si>
  <si>
    <t>Völkerschlacht 1813</t>
  </si>
  <si>
    <t>Leipzig – Denkmal</t>
  </si>
  <si>
    <t>Das 91 Meter hohe Völkerschlachtdenkmal erinnert an Napoleons Niederlage in der größten Schlacht vor dem Ersten Weltkrieg.</t>
  </si>
  <si>
    <t>Meißen Porzellan</t>
  </si>
  <si>
    <t>Meißen – Porzellanmuseum</t>
  </si>
  <si>
    <t>1710 entstand in Meißen das erste europäische Hartporzellan. Das Museum zeigt Meisterstücke mit den gekreuzten Schwertern.</t>
  </si>
  <si>
    <t>Forschung &amp; Flug</t>
  </si>
  <si>
    <t>Berlin – Dt. Technikmuseum</t>
  </si>
  <si>
    <t>Das Technikmuseum präsentiert Lokomotiven, Schiffe und einen „Rosinenbomber“ auf dem Dach – Technikgeschichte zum Anfassen.</t>
  </si>
  <si>
    <t>Preußische Pracht</t>
  </si>
  <si>
    <t>Potsdam – Schloss Sanssouci</t>
  </si>
  <si>
    <t>Friedrich der Große ließ Sanssouci (1747) als Rokoko-Sommerresidenz über Weinbergterrassen erbauen; Park und Schlösser sind UNESCO-Welterbe.</t>
  </si>
  <si>
    <t>Filmgeschichte</t>
  </si>
  <si>
    <t>Potsdam – Filmpark Babelsberg</t>
  </si>
  <si>
    <t>Die Babelsberger Studios (ab 1912) sind Wiege des deutschen Films. Der Filmpark gewährt Einblicke in Kulissen, Stunts und Tricktechnik.</t>
  </si>
  <si>
    <t>Berliner Luftbrücke</t>
  </si>
  <si>
    <t>Berlin – Tempelhof</t>
  </si>
  <si>
    <t>1948/49 versorgten Rosinenbomber den blockierten Westteil der Stadt über den Flughafen Tempelhof – ein Symbol westlicher Solidarität.</t>
  </si>
  <si>
    <t>Kalter Krieg</t>
  </si>
  <si>
    <t>Berlin – Checkpoint Charlie</t>
  </si>
  <si>
    <t>Der bekannteste Berliner Grenzübergang war Schauplatz brisanter Panzerkonfrontationen zwischen USA und UdSSR im Oktober 1961.</t>
  </si>
  <si>
    <t>Hauptstadtgeschichte</t>
  </si>
  <si>
    <t>Berlin – Brandenburger Tor</t>
  </si>
  <si>
    <t>Das klassizistische Tor (1791) stand bis 1989 an der Mauer und wurde nach dem Fall zum Symbol der deutschen Einheit.</t>
  </si>
  <si>
    <t>Techno-Kultur</t>
  </si>
  <si>
    <t>Berlin – Berghain</t>
  </si>
  <si>
    <t>Der Club Berghain in einem ehemaligen Kraftwerk gilt als Mekka des Techno: kompromisslose Türpolitik und erstklassiger Sound erzeugen Kultstatus.</t>
  </si>
  <si>
    <t>Mauerfall</t>
  </si>
  <si>
    <t>Berlin – East Side Gallery</t>
  </si>
  <si>
    <t>Die bemalten 1,3 km Mauerreste zeigen über 100 Murals, die Freude über die friedliche Revolution von 1989 ausdrücken.</t>
  </si>
  <si>
    <t>Parklandschaft</t>
  </si>
  <si>
    <t>Fürstenberg/Havel – Schloss</t>
  </si>
  <si>
    <t>Schloss Fürstenberg liegt in einer seen- und waldreichen Parklandschaft Nordbrandenburgs und spiegelt adlige Kultur in naturnaher Umgebung.</t>
  </si>
  <si>
    <t>Brandenburgische Seen</t>
  </si>
  <si>
    <t>Rheinsberg – Schloss</t>
  </si>
  <si>
    <t>Schloss Rheinsberg am Grienericksee, einst Residenz Friedrichs des Großen, repräsentiert die idyllischen Seen des Ruppiner Landes.</t>
  </si>
  <si>
    <t>Müritzeum</t>
  </si>
  <si>
    <t>Waren – Müritzeum</t>
  </si>
  <si>
    <t>Deutschlands größtes Süßwasseraquarium informiert im Müritzeum über Flora und Fauna der Mecklenburgischen Seenplatte.</t>
  </si>
  <si>
    <t>Hafengeschichte</t>
  </si>
  <si>
    <t>Rostock – Alter Strom</t>
  </si>
  <si>
    <t>Warnemündes Alter Strom zeigt mit Fischerbooten und Kapitänshäusern die maritime Tradition der Hansestadt Rostock.</t>
  </si>
  <si>
    <t>Fischerdorf</t>
  </si>
  <si>
    <t>Ahrenshoop – Künstlerkolonie</t>
  </si>
  <si>
    <t>Das ehemalige Fischerdorf Ahrenshoop wurde ab 1890 zur Künstlerkolonie; Reetdächer und Ostseelicht inspirieren Maler bis heute.</t>
  </si>
  <si>
    <t>Stadterhebung</t>
  </si>
  <si>
    <t>Stralsund – Altstadt</t>
  </si>
  <si>
    <t>Stralsunds Backsteingotik-Altstadt erhielt 1234 Stadtrecht; als Hanse-Hafen ist sie zusammen mit Wismar UNESCO-Welterbe.</t>
  </si>
  <si>
    <t>Backsteingotik</t>
  </si>
  <si>
    <t>Greifswald – Dom</t>
  </si>
  <si>
    <t>Der Dom St. Nikolai (13. Jh.) dominiert Greifswalds Silhouette und verkörpert norddeutsche Backsteingotik und Hanse-Reichtum.</t>
  </si>
  <si>
    <t>Nationalpark Jasmund</t>
  </si>
  <si>
    <t>Rügen – Kreideküste</t>
  </si>
  <si>
    <t>Die weißen Kreidefelsen und alten Buchenwälder des Nationalparks Jasmund sind UNESCO-Weltnaturerbe und Inspiration romantischer Maler.</t>
  </si>
  <si>
    <t>Kaiserbäder Usedom</t>
  </si>
  <si>
    <t>Usedom – Kaiserbäder</t>
  </si>
  <si>
    <t>Ahlbeck, Heringsdorf, Bansin lockten seit 1900 mit Seebrücken und Bäderarchitektur das Berliner Bürgertum an die Ostsee.</t>
  </si>
  <si>
    <t>UNESCO-Altstadt Wismar</t>
  </si>
  <si>
    <t>Wismar – Altstadt</t>
  </si>
  <si>
    <t>Giebelhäuser, Wasserkunst und Backsteinkirchen bezeugen Wismars Hanse-Vergangenheit und machten die Altstadt zum Weltkulturerbe.</t>
  </si>
  <si>
    <t>Schwerin – Schloss</t>
  </si>
  <si>
    <t>Das romantische Insel-Schloss mit Türmen und goldenem Turmhelm ist Sitz des Landtags Mecklenburg-Vorpommerns und ein Märchenmotiv.</t>
  </si>
  <si>
    <t>Backsteingotik Ost</t>
  </si>
  <si>
    <t>Lübeck – Holstentor</t>
  </si>
  <si>
    <t>Das spätgotische Holstentor (1464–1478) mit Zwillings­türmen ist Lübecks Wahrzeichen und erinnert an die Blüte der Hanse.</t>
  </si>
  <si>
    <t>St. Michaelis</t>
  </si>
  <si>
    <t>Hamburg – Michel</t>
  </si>
  <si>
    <t>Der barocke Michel mit 132 m Turm bietet Seefahrern Orientierung und Hamburgern ein identitätsstiftendes Wahrzeichen.</t>
  </si>
  <si>
    <t>Elbphilharmonie</t>
  </si>
  <si>
    <t>Hamburg – Elbphilharmonie</t>
  </si>
  <si>
    <t>Das 2017 eröffnete Konzerthaus kombiniert modernen Glaswellenbau auf historischem Kaispeicher und setzt akustische Maßstäbe.</t>
  </si>
  <si>
    <t>Hafengeburtstag</t>
  </si>
  <si>
    <t>Hamburg – Landungsbrücken</t>
  </si>
  <si>
    <t>Europas größtes Hafenfest feiert seit 1189 die Hamburger Schifffahrt mit Ein- und Auslaufparaden von Segel- bis Kreuzfahrtschiffen.</t>
  </si>
  <si>
    <t>Reeperbahn</t>
  </si>
  <si>
    <t>Hamburg – St. Pauli</t>
  </si>
  <si>
    <t>St. Paulis Reeperbahn ist weltberühmtes Vergnügungs- und Rotlichtviertel, wo in den 1960ern die Beatles ihren Durchbruch hatten.</t>
  </si>
  <si>
    <t>Handball THW Kiel</t>
  </si>
  <si>
    <t>Kiel – Wunderino Arena</t>
  </si>
  <si>
    <t>THW Kiel, vielfacher deutscher und Champions-League-Sieger, sorgt in der Wunderino Arena für Handball-Atmosphäre auf Weltklasseniveau.</t>
  </si>
  <si>
    <t>Kieler Woche</t>
  </si>
  <si>
    <t>Kiel – Hörn</t>
  </si>
  <si>
    <t>Seit 1882 ist die Kieler Woche das größte Segelereignis der Welt; Regatten und maritimes Volksfest beleben eine Woche lang die Förde.</t>
  </si>
  <si>
    <t>Max Planck</t>
  </si>
  <si>
    <t>Kiel – Max-Planck-Schule</t>
  </si>
  <si>
    <t>Der in Kiel geborene Physiker Max Planck (1858–1947) begründete mit seiner Quantentheorie die moderne Physik.</t>
  </si>
  <si>
    <t>Sylt Strandkultur</t>
  </si>
  <si>
    <t>Westerland – Strandpromenade</t>
  </si>
  <si>
    <t>Sylt vereint Kurtradition, endlose Sandstrände und Prominentenflair; Strandkörbe und Reetdörfer prägen Deutschlands bekannteste Nordseeinsel.</t>
  </si>
  <si>
    <t>Moderne Kunst</t>
  </si>
  <si>
    <t>Magdeburg – Kunstmuseum</t>
  </si>
  <si>
    <t>Das Kunstmuseum im Kloster Unser Lieben Frauen verbindet romanische Architektur mit internationaler Gegenwartskunst – Symbol des modernen Magdeburg.</t>
  </si>
  <si>
    <t>ErklÃ¤rung</t>
  </si>
  <si>
    <t>Frankfurt â€“ Main Tower</t>
  </si>
  <si>
    <t>Der Main Tower in Frankfurt am Main ist ein 200 Meter hoher Wolkenkratzer mit Ã¶ffentlich zugÃ¤nglicher Aussichtsplattform. Das 2000 erÃ¶ffnete Hochhaus prÃ¤gt mit seiner Glasfassade die Frankfurter Skyline und zÃ¤hlt zu den hÃ¶chsten GebÃ¤uden Deutschlands; von 198 Metern HÃ¶he genieÃŸt man einen Rundblick Ã¼ber die Stadt.</t>
  </si>
  <si>
    <t>Frankfurt â€“ RÃ¶mer</t>
  </si>
  <si>
    <t>Frankfurt am Main zÃ¤hlt als Finanzmetropole zu den wichtigsten Bankenstandorten Europas. Sitz der EuropÃ¤ischen Zentralbank und zahlreicher GroÃŸbanken, verleiht die Skyline mit den meisten Wolkenkratzern Deutschlands der Stadt den Spitznamen â€žMainhattanâ€œ.</t>
  </si>
  <si>
    <t>Wiesbaden â€“ Kurhaus</t>
  </si>
  <si>
    <t>Wiesbaden gilt seit dem 19. Jahrhundert als mondÃ¤ne Kurstadt. Das neoklassizistische Kurhaus von 1907, Thermalquellen und weitlÃ¤ufige Kurparks spiegeln bis heute die historische Wellness-Kultur wider.</t>
  </si>
  <si>
    <t>Mainz â€“ Gutenberg-Museum</t>
  </si>
  <si>
    <t>Johannes Gutenberg revolutionierte um 1450 in Mainz den Buchdruck mit beweglichen Lettern. Das Gutenberg-Museum zeigt u. a. zwei Gutenberg-Bibeln und demonstriert an historischen Pressen die Technik, die das Lesen weltweit verÃ¤nderte.</t>
  </si>
  <si>
    <t>RÃ¼desheim â€“ Drosselgasse</t>
  </si>
  <si>
    <t>Die Drosselgasse in RÃ¼desheim ist eine 144 Meter lange Fachwerkgasse voller Weinstuben. Ihre Weinfeste mit Live-Musik reprÃ¤sentieren die gesellige Rheingauer Weinkultur.</t>
  </si>
  <si>
    <t>WÃ¶llstein â€“ Geburtsort</t>
  </si>
  <si>
    <t>Helene Fischer (*1984) wuchs in WÃ¶llstein auf und wurde zur erfolgreichsten deutschen SchlagersÃ¤ngerin. Hits wie â€žAtemlos durch die Nachtâ€œ und zahlreiche Auszeichnungen prÃ¤gen ihre Karriere.</t>
  </si>
  <si>
    <t>St. Goar â€“ Loreleyfelsen</t>
  </si>
  <si>
    <t>Boppard â€“ Rheinschleife</t>
  </si>
  <si>
    <t>An der Rheinschleife bei Boppard wachsen auf steilen SchieferhÃ¤ngen Riesling-Reben. Der Bopparder Hamm dokumentiert seit Jahrhunderten die Weinbautradition des Mittelrheins.</t>
  </si>
  <si>
    <t>Koblenz â€“ Deutsches Eck</t>
  </si>
  <si>
    <t>Am Deutschen Eck flieÃŸen Mosel und Rhein zusammen. Das Reiterstandbild Kaiser Wilhelms I. (1897) erinnert an die ReichsgrÃ¼ndung und wurde nach 1945 zum Symbol der deutschen Einheit.</t>
  </si>
  <si>
    <t>NÃ¼rburgring â€“ GP-Strecke</t>
  </si>
  <si>
    <t>Deutschlands Autobahnen sind fÃ¼r fehlende Tempolimits bekannt. Auf der Nordschleife des NÃ¼rburgrings kÃ¶nnen Fahrer Hochgeschwindigkeit legal erleben â€“ ein kontrolliertes Pendant zum Autobahnrausch.</t>
  </si>
  <si>
    <t>Bonn â€“ Beethoven-Haus</t>
  </si>
  <si>
    <t>Ludwig van Beethoven (1770â€“1827) wurde in Bonn geboren. Sein Geburtshaus bewahrt Originalinstrumente und Handschriften des Komponisten, dessen Werke die klassische Musik bis heute prÃ¤gen.</t>
  </si>
  <si>
    <t>KÃ¶lner Karneval</t>
  </si>
  <si>
    <t>KÃ¶ln â€“ Alter Markt</t>
  </si>
  <si>
    <t>Der KÃ¶lner Karneval, seit 1823 organisiert, verwandelt die Stadt vom 11. 11. bis Aschermittwoch in ein buntes Volksfest. HÃ¶hepunkt ist der Rosenmontagszug mit Hunderttausenden kostÃ¼mierten Jecken.</t>
  </si>
  <si>
    <t>KÃ¶ln â€“ Adenauer-Haus</t>
  </si>
  <si>
    <t>Konrad Adenauer (1876â€“1967) war KÃ¶lner OberbÃ¼rgermeister und erster Bundeskanzler der Bundesrepublik. Sein Wohnhaus in RhÃ¶ndorf erzÃ¤hlt von seinem Einsatz fÃ¼r Wiederaufbau und Westbindung.</t>
  </si>
  <si>
    <t>Mettmann â€“ Neanderthal Museum</t>
  </si>
  <si>
    <t>Der 1856 gefundene Neandertaler-SchÃ¤del revolutionierte das VerstÃ¤ndnis menschlicher Evolution. Das Neanderthal Museum veranschaulicht die Geschichte unserer fossilen Verwandten.</t>
  </si>
  <si>
    <t>DÃ¼sseldorf â€“ Rheinturm</t>
  </si>
  <si>
    <t>DÃ¼sseldorf verbindet Altstadt, Mode- und Messekultur mit moderner Architektur im Medienhafen. Der Rheinturm bietet einen Panoramablick auf die Rheinmetropole und ihre Kunst- und Shopping-Szene.</t>
  </si>
  <si>
    <t>Duisburg â€“ Innenhafen</t>
  </si>
  <si>
    <t>Der Duisburger Innenhafen, einst Speicher- und Handelshafen, wurde zum Kultur- und BÃ¼roquartier umgestaltet. Restaurierte Speicher und Museen zeigen den erfolgreichen Strukturwandel von Stahl zu Kultur.</t>
  </si>
  <si>
    <t>Essen â€“ Zeche Zollverein</t>
  </si>
  <si>
    <t>Essen â€“ Kokerei Zollverein</t>
  </si>
  <si>
    <t>Die Kokerei Zollverein verarbeitete bis 1993 Kohle zu Koks und ist heute Teil des Weltkulturerbes. Besucher erkunden FÃ¶rdertÃ¼rme, Ã–fen und Aussichtsplattformen eines herausragenden Industriedenkmals.</t>
  </si>
  <si>
    <t>FuÃŸball Bundesliga</t>
  </si>
  <si>
    <t>Dortmund â€“ Signal Iduna Park</t>
  </si>
  <si>
    <t>Borussia Dortmunds Stadion mit der legendÃ¤ren â€žGelben Wandâ€œ steht fÃ¼r die Fankultur der FuÃŸball-Bundesliga, die seit 1963 Millionen begeistert.</t>
  </si>
  <si>
    <t>WestfÃ¤lische Fachwerkstadt</t>
  </si>
  <si>
    <t>MÃ¼nster â€“ Prinzipalmarkt</t>
  </si>
  <si>
    <t>MÃ¼nsters Prinzipalmarkt mit GiebelhÃ¤usern und Arkaden, Rathaus und Lambertikirche vereint mittelalterliche Baukunst und Wiederaufbau. FahrrÃ¤der und Friedensgeschichte prÃ¤gen das Stadtbild.</t>
  </si>
  <si>
    <t>Bielefeld â€“ Sparrenburg</t>
  </si>
  <si>
    <t>Die mittelalterliche Sparrenburg Ã¼berragt Bielefeld am Rand des Teutoburger Waldes, der durch die Varusschlacht (9 n. Chr.) historisch bekannt ist.</t>
  </si>
  <si>
    <t>Hannover â€“ Neues Rathaus</t>
  </si>
  <si>
    <t>Hannovers wilhelminisches Neues Rathaus (1913) symbolisiert den Wiederaufbau der Stadt, die heute Messestandort und grÃ¼ne GroÃŸstadt mit den HerrenhÃ¤user GÃ¤rten ist.</t>
  </si>
  <si>
    <t>Hannover â€“ H.-Arendt-Platz</t>
  </si>
  <si>
    <t>Die politische Theoretikerin Hannah Arendt (1906â€“1975) wurde in Hannover geboren. Der Hannah-Arendt-Platz mahnt an Demokratie, Freiheit und Verantwortung.</t>
  </si>
  <si>
    <t>Hannover â€“ Expo-Park</t>
  </si>
  <si>
    <t>Hannover â€“ Herrenhausen</t>
  </si>
  <si>
    <t>Das rekonstruierte Schloss Herrenhausen liegt inmitten der berÃ¼hmten barocken HerrenhÃ¤user GÃ¤rten mit Wasserspielen und Botanischem Berggarten.</t>
  </si>
  <si>
    <t>Braunschweig â€“ Schloss</t>
  </si>
  <si>
    <t>Die Fassade des im Krieg zerstÃ¶rten Welfenschlosses wurde 2007 vor ein modernes Einkaufs- und Kulturzentrum gesetzt â€“ ein Beispiel fÃ¼r Tradition im neuen Gewand.</t>
  </si>
  <si>
    <t>Wolfsburg â€“ Phaeno</t>
  </si>
  <si>
    <t>Das von Zaha Hadid entworfene Phaeno Science Center inszeniert NaturphÃ¤nomene interaktiv. Es ergÃ¤nzt Wolfsburgs Autostadt und die VW-Historie um Wissenschaftserlebnisse.</t>
  </si>
  <si>
    <t>Volkswagen-GrÃ¼ndung</t>
  </si>
  <si>
    <t>Wolfsburg â€“ Autostadt</t>
  </si>
  <si>
    <t>1938 als Standort fÃ¼r den VW-KÃ¤fer gegrÃ¼ndet, erzÃ¤hlt Wolfsburgs Autostadt mit Pavillons und Oldtimern die Geschichte des Konzerns und des Automobils.</t>
  </si>
  <si>
    <t>Goslar â€“ Altstadt</t>
  </si>
  <si>
    <t>UniversitÃ¤tsstadt</t>
  </si>
  <si>
    <t>GÃ¶ttingen â€“ GÃ¤nseliesel</t>
  </si>
  <si>
    <t>Seit 1737 prÃ¤gt die UniversitÃ¤t GÃ¶ttingen die Stadt. Der GÃ¤nseliesel-Brunnen gilt als â€žmeistgekÃ¼sstes MÃ¤dchen der Weltâ€œ, denn frisch promovierte Doktoranden kÃ¼ssen die Statue.</t>
  </si>
  <si>
    <t>BrÃ¼der Grimm</t>
  </si>
  <si>
    <t>Kassel â€“ Grimm-Museum</t>
  </si>
  <si>
    <t>In Kassel sammelten Jacob und Wilhelm Grimm ihre weltberÃ¼hmten MÃ¤rchen. Die Grimmwelt prÃ¤sentiert Manuskripte und sprachwissenschaftliches Erbe.</t>
  </si>
  <si>
    <t>Kassel â€“ Friedrichsplatz</t>
  </si>
  <si>
    <t>Die alle fÃ¼nf Jahre stattfindende documenta macht Kassel zur Welthauptstadt zeitgenÃ¶ssischer Kunst und verwandelt die Stadt in ein riesiges Open-Air-Museum.</t>
  </si>
  <si>
    <t>Kassel â€“ Bergpark WilhelmshÃ¶he</t>
  </si>
  <si>
    <t>Europas grÃ¶ÃŸter Hangpark mit Herkules-Statue und barocken Wasserspielen ist UNESCO-Welterbe und Zeugnis landgrÃ¤flicher Gartenkunst.</t>
  </si>
  <si>
    <t>Eisenach â€“ Wartburg</t>
  </si>
  <si>
    <t>1817 forderten Studenten auf der Wartburg nationale Einheit und Freiheitsrechte. Die Burg ist auch durch Luthers BibelÃ¼bersetzung berÃ¼hmt.</t>
  </si>
  <si>
    <t>Erfurt â€“ Dom</t>
  </si>
  <si>
    <t>Der gotische Erfurter Dom beherbergt die Gloriosa, grÃ¶ÃŸte freischwingende mittelalterliche Glocke. Hier wurde Martin Luther 1507 zum Priester geweiht.</t>
  </si>
  <si>
    <t>Weimar â€“ Goethe-Haus</t>
  </si>
  <si>
    <t>Goethes Wohnhaus zeigt originale RÃ¤ume und Sammlungen des Dichters, der mit Schiller die Weimarer Klassik prÃ¤gte.</t>
  </si>
  <si>
    <t>Weimar â€“ DNT</t>
  </si>
  <si>
    <t>Die Geldentwertung der Weimarer Republik erreichte 1923 ihren HÃ¶hepunkt: Preise explodierten, Ersparnisse verfielen â€“ ein Trauma deutscher Wirtschaftsgeschichte.</t>
  </si>
  <si>
    <t>ThÃ¼ringer Wald â€“ Rennsteig</t>
  </si>
  <si>
    <t>Der 170 km lange Rennsteig-Kammweg ist Ã¤ltester Fernwanderweg Deutschlands und verbindet Kultur- und Naturlandschaften des ThÃ¼ringer Waldes.</t>
  </si>
  <si>
    <t>Lauscha â€“ GlasblÃ¤serwerkstatt</t>
  </si>
  <si>
    <t>Lauscha gilt als Geburtsort der glÃ¤sernen Christbaumkugel. Seit 1597 pflegen Familienbetriebe hier die Kunst des Glasblasens.</t>
  </si>
  <si>
    <t>Coburg â€“ Veste Coburg</t>
  </si>
  <si>
    <t>Die Veste Coburg, eine der grÃ¶ÃŸten Burgen Deutschlands, beherbergt Kunstsammlungen und war 1530 Luther-Fluchtort.</t>
  </si>
  <si>
    <t>Kulmbach â€“ MÃ¶nchshof</t>
  </si>
  <si>
    <t>Kulmbach prÃ¤sentiert im Bayerischen Brauereimuseum Starkbier- und Eisbock-Tradition und feiert jÃ¤hrlich die Bierwoche.</t>
  </si>
  <si>
    <t>Kulmbach â€“ Brauerei</t>
  </si>
  <si>
    <t>FrÃ¤nkische Braukunst mit Reinheitsgebot: Kulmbacher Starkbiere genieÃŸen internationalen Ruf und prÃ¤gen lokale IdentitÃ¤t.</t>
  </si>
  <si>
    <t>Bayreuth â€“ Opernhaus</t>
  </si>
  <si>
    <t>Das MarkgrÃ¤fliche Opernhaus (1748) ist ein vollstÃ¤ndig erhaltenes Barocktheater und UNESCO-Welterbe â€“ ein Juwel hÃ¶fischer Festkultur.</t>
  </si>
  <si>
    <t>Bayreuth â€“ Festspielhaus</t>
  </si>
  <si>
    <t>Das 1876 erÃ¶ffnete Festspielhaus, akustisch auf Wagners Musikdramen ausgelegt, zieht Opernliebhaber aus aller Welt zu den Bayreuther Festspielen.</t>
  </si>
  <si>
    <t>FrÃ¤nkische Schweiz</t>
  </si>
  <si>
    <t>Pottenstein â€“ TeufelshÃ¶hle</t>
  </si>
  <si>
    <t>Die zerklÃ¼ftete Karstlandschaft mit TropfsteinhÃ¶hlen und Burgruinen ist seit dem 19. Jh. ein beliebtes Wander- und Klettergebiet.</t>
  </si>
  <si>
    <t>Bamberg â€“ Altstadt</t>
  </si>
  <si>
    <t>Bambergs sieben-hÃ¼gelige Altstadt mit romanischem Dom und Rathaus in der Regnitz gilt als grÃ¶ÃŸtes unzerstÃ¶rtes historisches Stadtbild Deutschlands.</t>
  </si>
  <si>
    <t>NÃ¼rnberg â€“ Hauptmarkt</t>
  </si>
  <si>
    <t>Der NÃ¼rnberger Christkindlesmarkt, seit dem 16. Jh. belegt, lockt mit Lebkuchen und Holzspielzeug jÃ¤hrlich zwei Millionen Besucher.</t>
  </si>
  <si>
    <t>NÃ¼rnberg â€“ Memorium</t>
  </si>
  <si>
    <t>Das Memorium NÃ¼rnberger Prozesse erinnert in Saal 600 an die juristische Aufarbeitung der NS-Verbrechen und die Geburtsstunde des VÃ¶lkerstrafrechts.</t>
  </si>
  <si>
    <t>Ingolstadt â€“ Herzogskasten</t>
  </si>
  <si>
    <t>1516 verkÃ¼ndeten bayerische HerzÃ¶ge in Ingolstadt das Reinheitsgebot: Bier darf nur aus Wasser, Gerste, Hopfen bestehen â€“ Ã¤lteste Lebensmittelvorschrift der Welt.</t>
  </si>
  <si>
    <t>FuÃŸball Allianz Arena</t>
  </si>
  <si>
    <t>MÃ¼nchen â€“ Allianz Arena</t>
  </si>
  <si>
    <t>Die 2005 erÃ¶ffnete Allianz Arena mit lichtÂ­durchÂ­lÃ¤ssiger AuÃŸenhaut ist Heim des FC Bayern und eines der markantesten Stadien Europas.</t>
  </si>
  <si>
    <t>MÃ¼nchen â€“ Olympiapark</t>
  </si>
  <si>
    <t>Die Spiele von 1972 setzten mit ihrer Zeltdach-Architektur neue MaÃŸstÃ¤be; das Attentat auf die israelische Mannschaft prÃ¤gte die Erinnerung an das moderne Areal.</t>
  </si>
  <si>
    <t>MÃ¼nchen â€“ LMU</t>
  </si>
  <si>
    <t>Sophie Scholl verteilte 1943 FlugblÃ¤tter der â€žWeiÃŸen Roseâ€œ an der LMU. Heute mahnen Gedenktafeln an ihren mutigen Widerstand gegen das NS-Regime.</t>
  </si>
  <si>
    <t>MÃ¼nchen â€“ Theresienwiese</t>
  </si>
  <si>
    <t>Seit 1810 feiert MÃ¼nchen das Oktoberfest. Riesige Bierzelte, FahrgeschÃ¤fte und Trachten ziehen jÃ¤hrlich Millionen Besucher an.</t>
  </si>
  <si>
    <t>Schwangau â€“ Neuschwanstein</t>
  </si>
  <si>
    <t>KÃ¶nig Ludwigs MÃ¤rchenschloss (ab 1869) verkÃ¶rpert romantischen Historismus in alpiner Kulisse und diente als Vorbild fÃ¼r das Disney-Schloss.</t>
  </si>
  <si>
    <t>Friedrichshafen â€“ Zeppelin Museum</t>
  </si>
  <si>
    <t>Hier startete 1900 der erste Zeppelin der Welt. Das Museum zeigt Exponate zur LuftschiffÃ¤ra, darunter ein TeilstÃ¼ck der â€žHindenburgâ€œ.</t>
  </si>
  <si>
    <t>Ulm â€“ Einstein-Brunnen</t>
  </si>
  <si>
    <t>Albert Einstein, 1879 in Ulm geboren, revolutionierte mit RelativitÃ¤ts- und Quantentheorie die Physik. Der Brunnen erinnert an das Genie.</t>
  </si>
  <si>
    <t>Stuttgart â€“ Wasen</t>
  </si>
  <si>
    <t>Das Cannstatter Volksfest (seit 1818) ist nach dem Oktoberfest das zweitgrÃ¶ÃŸte deutsche Bier- und Volksfest und zieht jÃ¤hrlich rund vier Millionen GÃ¤ste an.</t>
  </si>
  <si>
    <t>Heidelberg â€“ Schloss</t>
  </si>
  <si>
    <t>Die romantische Schlossruine Ã¼ber dem Neckar war Residenz der KurfÃ¼rsten. Ihre Renaissance-Fassaden und das GroÃŸe Fass begeisterten schon Goethe.</t>
  </si>
  <si>
    <t>Mannheim â€“ Carl-Benz-Haus</t>
  </si>
  <si>
    <t>Carl Benz baute 1885/86 in Mannheim den ersten praxistauglichen Motorwagen. Bertha Benzâ€™ erste Fernfahrt bewies seine Alltagstauglichkeit.</t>
  </si>
  <si>
    <t>WÃ¼rzburg â€“ Residenz</t>
  </si>
  <si>
    <t>Die WÃ¼rzburger Residenz (1720â€“1744) mit Tiepolo-Fresko und Spiegelsaal gilt als Hauptwerk des sÃ¼ddeutschen Barock und ist UNESCO-Welterbe.</t>
  </si>
  <si>
    <t>SchwarzwÃ¤lder Kirschtorte</t>
  </si>
  <si>
    <t>Triberg â€“ CafÃ© SchÃ¤fer</t>
  </si>
  <si>
    <t>Im Schwarzwald entstand die Sahne-Schokoladen-Kirschtorte mit Kirschwasser. Das CafÃ© SchÃ¤fer serviert sie nach historischem Rezept.</t>
  </si>
  <si>
    <t>Aachen â€“ Dom</t>
  </si>
  <si>
    <t>Karls Pfalzkapelle (8./9. Jh.) und gotischer Chor sind erstes deutsches UNESCO-Welterbe. Ãœber 30 deutsche KÃ¶nige wurden hier gekrÃ¶nt.</t>
  </si>
  <si>
    <t>Aachen â€“ Dombezirk</t>
  </si>
  <si>
    <t>Der Aachener Domschatz mit Karlsschrein und Marienschrein zÃ¤hlt zu den bedeutendsten KirchenschÃ¤tzen Europas und ergÃ¤nzt den Weltkulturerbe-Dom.</t>
  </si>
  <si>
    <t>Eisleben â€“ GedenkstÃ¤tten</t>
  </si>
  <si>
    <t>Luthers Geburts- und SterbehÃ¤user in Eisleben sind UNESCO-Welterbe und dokumentieren Leben und Wirkung des Reformators.</t>
  </si>
  <si>
    <t>ArchitekturÂ­moderne</t>
  </si>
  <si>
    <t>Dessau â€“ MeisterhÃ¤user</t>
  </si>
  <si>
    <t>Die MeisterhÃ¤user (1925/26) von Gropius fÃ¼r Bauhaus-Lehrer wie Kandinsky reprÃ¤sentieren funktionale Bauhaus-Architektur im Originalzustand.</t>
  </si>
  <si>
    <t>Bauhaus-GrÃ¼ndung</t>
  </si>
  <si>
    <t>Dessau â€“ Bauhaus</t>
  </si>
  <si>
    <t>Das BauhausgebÃ¤ude (1926) mit Glasfassade steht fÃ¼r die Verschmelzung von Kunst, Handwerk und Industrie â€“ ein Meilenstein der Moderne.</t>
  </si>
  <si>
    <t>Lutherstadt Wittenberg â€“ Schlosskirche</t>
  </si>
  <si>
    <t>Luthers 95 Thesen von 1517 an der Schlosskirche lÃ¶sten die Reformation aus und verÃ¤nderten Kirche und Gesellschaft nachhaltig.</t>
  </si>
  <si>
    <t>Leipzig â€“ Moritzbastei</t>
  </si>
  <si>
    <t>Die Leipziger Jazztage (seit 1976) holen internationale JazzgrÃ¶ÃŸen in historische SpielstÃ¤tten wie die unterirdische Moritzbastei.</t>
  </si>
  <si>
    <t>Leipzig â€“ Bach-Museum</t>
  </si>
  <si>
    <t>VÃ¶lkerschlacht 1813</t>
  </si>
  <si>
    <t>Leipzig â€“ Denkmal</t>
  </si>
  <si>
    <t>Das 91 Meter hohe VÃ¶lkerschlachtdenkmal erinnert an Napoleons Niederlage in der grÃ¶ÃŸten Schlacht vor dem Ersten Weltkrieg.</t>
  </si>
  <si>
    <t>MeiÃŸen Porzellan</t>
  </si>
  <si>
    <t>MeiÃŸen â€“ Porzellanmuseum</t>
  </si>
  <si>
    <t>1710 entstand in MeiÃŸen das erste europÃ¤ische Hartporzellan. Das Museum zeigt MeisterstÃ¼cke mit den gekreuzten Schwertern.</t>
  </si>
  <si>
    <t>Berlin â€“ Dt. Technikmuseum</t>
  </si>
  <si>
    <t>Das Technikmuseum prÃ¤sentiert Lokomotiven, Schiffe und einen â€žRosinenbomberâ€œ auf dem Dach â€“ Technikgeschichte zum Anfassen.</t>
  </si>
  <si>
    <t>PreuÃŸische Pracht</t>
  </si>
  <si>
    <t>Potsdam â€“ Schloss Sanssouci</t>
  </si>
  <si>
    <t>Friedrich der GroÃŸe lieÃŸ Sanssouci (1747) als Rokoko-Sommerresidenz Ã¼ber Weinbergterrassen erbauen; Park und SchlÃ¶sser sind UNESCO-Welterbe.</t>
  </si>
  <si>
    <t>Potsdam â€“ Filmpark Babelsberg</t>
  </si>
  <si>
    <t>Die Babelsberger Studios (ab 1912) sind Wiege des deutschen Films. Der Filmpark gewÃ¤hrt Einblicke in Kulissen, Stunts und Tricktechnik.</t>
  </si>
  <si>
    <t>Berliner LuftbrÃ¼cke</t>
  </si>
  <si>
    <t>Berlin â€“ Tempelhof</t>
  </si>
  <si>
    <t>1948/49 versorgten Rosinenbomber den blockierten Westteil der Stadt Ã¼ber den Flughafen Tempelhof â€“ ein Symbol westlicher SolidaritÃ¤t.</t>
  </si>
  <si>
    <t>Berlin â€“ Checkpoint Charlie</t>
  </si>
  <si>
    <t>Der bekannteste Berliner GrenzÃ¼bergang war Schauplatz brisanter Panzerkonfrontationen zwischen USA und UdSSR im Oktober 1961.</t>
  </si>
  <si>
    <t>Berlin â€“ Brandenburger Tor</t>
  </si>
  <si>
    <t>Berlin â€“ Berghain</t>
  </si>
  <si>
    <t>Der Club Berghain in einem ehemaligen Kraftwerk gilt als Mekka des Techno: kompromisslose TÃ¼rpolitik und erstklassiger Sound erzeugen Kultstatus.</t>
  </si>
  <si>
    <t>Berlin â€“ East Side Gallery</t>
  </si>
  <si>
    <t>Die bemalten 1,3 km Mauerreste zeigen Ã¼ber 100 Murals, die Freude Ã¼ber die friedliche Revolution von 1989 ausdrÃ¼cken.</t>
  </si>
  <si>
    <t>FÃ¼rstenberg/Havel â€“ Schloss</t>
  </si>
  <si>
    <t>Schloss FÃ¼rstenberg liegt in einer seen- und waldreichen Parklandschaft Nordbrandenburgs und spiegelt adlige Kultur in naturnaher Umgebung.</t>
  </si>
  <si>
    <t>Rheinsberg â€“ Schloss</t>
  </si>
  <si>
    <t>Schloss Rheinsberg am Grienericksee, einst Residenz Friedrichs des GroÃŸen, reprÃ¤sentiert die idyllischen Seen des Ruppiner Landes.</t>
  </si>
  <si>
    <t>MÃ¼ritzeum</t>
  </si>
  <si>
    <t>Waren â€“ MÃ¼ritzeum</t>
  </si>
  <si>
    <t>Deutschlands grÃ¶ÃŸtes SÃ¼ÃŸwasseraquarium informiert im MÃ¼ritzeum Ã¼ber Flora und Fauna der Mecklenburgischen Seenplatte.</t>
  </si>
  <si>
    <t>Rostock â€“ Alter Strom</t>
  </si>
  <si>
    <t>WarnemÃ¼ndes Alter Strom zeigt mit Fischerbooten und KapitÃ¤nshÃ¤usern die maritime Tradition der Hansestadt Rostock.</t>
  </si>
  <si>
    <t>Ahrenshoop â€“ KÃ¼nstlerkolonie</t>
  </si>
  <si>
    <t>Das ehemalige Fischerdorf Ahrenshoop wurde ab 1890 zur KÃ¼nstlerkolonie; ReetdÃ¤cher und Ostseelicht inspirieren Maler bis heute.</t>
  </si>
  <si>
    <t>Stralsund â€“ Altstadt</t>
  </si>
  <si>
    <t>Greifswald â€“ Dom</t>
  </si>
  <si>
    <t>Der Dom St. Nikolai (13. Jh.) dominiert Greifswalds Silhouette und verkÃ¶rpert norddeutsche Backsteingotik und Hanse-Reichtum.</t>
  </si>
  <si>
    <t>RÃ¼gen â€“ KreidekÃ¼ste</t>
  </si>
  <si>
    <t>Die weiÃŸen Kreidefelsen und alten BuchenwÃ¤lder des Nationalparks Jasmund sind UNESCO-Weltnaturerbe und Inspiration romantischer Maler.</t>
  </si>
  <si>
    <t>KaiserbÃ¤der Usedom</t>
  </si>
  <si>
    <t>Usedom â€“ KaiserbÃ¤der</t>
  </si>
  <si>
    <t>Ahlbeck, Heringsdorf, Bansin lockten seit 1900 mit SeebrÃ¼cken und BÃ¤derarchitektur das Berliner BÃ¼rgertum an die Ostsee.</t>
  </si>
  <si>
    <t>Wismar â€“ Altstadt</t>
  </si>
  <si>
    <t>GiebelhÃ¤user, Wasserkunst und Backsteinkirchen bezeugen Wismars Hanse-Vergangenheit und machten die Altstadt zum Weltkulturerbe.</t>
  </si>
  <si>
    <t>Schwerin â€“ Schloss</t>
  </si>
  <si>
    <t>Das romantische Insel-Schloss mit TÃ¼rmen und goldenem Turmhelm ist Sitz des Landtags Mecklenburg-Vorpommerns und ein MÃ¤rchenmotiv.</t>
  </si>
  <si>
    <t>LÃ¼beck â€“ Holstentor</t>
  </si>
  <si>
    <t>Das spÃ¤tgotische Holstentor (1464â€“1478) mit ZwillingsÂ­tÃ¼rmen ist LÃ¼becks Wahrzeichen und erinnert an die BlÃ¼te der Hanse.</t>
  </si>
  <si>
    <t>Hamburg â€“ Michel</t>
  </si>
  <si>
    <t>Der barocke Michel mit 132 m Turm bietet Seefahrern Orientierung und Hamburgern ein identitÃ¤tsstiftendes Wahrzeichen.</t>
  </si>
  <si>
    <t>Hamburg â€“ Elbphilharmonie</t>
  </si>
  <si>
    <t>Das 2017 erÃ¶ffnete Konzerthaus kombiniert modernen Glaswellenbau auf historischem Kaispeicher und setzt akustische MaÃŸstÃ¤be.</t>
  </si>
  <si>
    <t>Hamburg â€“ LandungsbrÃ¼cken</t>
  </si>
  <si>
    <t>Europas grÃ¶ÃŸtes Hafenfest feiert seit 1189 die Hamburger Schifffahrt mit Ein- und Auslaufparaden von Segel- bis Kreuzfahrtschiffen.</t>
  </si>
  <si>
    <t>Hamburg â€“ St. Pauli</t>
  </si>
  <si>
    <t>St. Paulis Reeperbahn ist weltberÃ¼hmtes VergnÃ¼gungs- und Rotlichtviertel, wo in den 1960ern die Beatles ihren Durchbruch hatten.</t>
  </si>
  <si>
    <t>Kiel â€“ Wunderino Arena</t>
  </si>
  <si>
    <t>THW Kiel, vielfacher deutscher und Champions-League-Sieger, sorgt in der Wunderino Arena fÃ¼r Handball-AtmosphÃ¤re auf Weltklasseniveau.</t>
  </si>
  <si>
    <t>Kiel â€“ HÃ¶rn</t>
  </si>
  <si>
    <t>Seit 1882 ist die Kieler Woche das grÃ¶ÃŸte Segelereignis der Welt; Regatten und maritimes Volksfest beleben eine Woche lang die FÃ¶rde.</t>
  </si>
  <si>
    <t>Kiel â€“ Max-Planck-Schule</t>
  </si>
  <si>
    <t>Der in Kiel geborene Physiker Max Planck (1858â€“1947) begrÃ¼ndete mit seiner Quantentheorie die moderne Physik.</t>
  </si>
  <si>
    <t>Westerland â€“ Strandpromenade</t>
  </si>
  <si>
    <t>Sylt vereint Kurtradition, endlose SandstrÃ¤nde und Prominentenflair; StrandkÃ¶rbe und ReetdÃ¶rfer prÃ¤gen Deutschlands bekannteste Nordseeinsel.</t>
  </si>
  <si>
    <t>Magdeburg â€“ Kunstmuseum</t>
  </si>
  <si>
    <t>Das Kunstmuseum im Kloster Unser Lieben Frauen verbindet romanische Architektur mit internationaler Gegenwartskunst â€“ Symbol des modernen Magdeburg.</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</si>
</sst>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rgb="FFB4C6E7"/>
          <bgColor rgb="FFB4C6E7"/>
        </patternFill>
      </fill>
      <border/>
    </dxf>
  </dxfs>
  <tableStyles count="2">
    <tableStyle count="3" pivot="0" name="Tabelle3-style">
      <tableStyleElement dxfId="1" type="headerRow"/>
      <tableStyleElement dxfId="2" type="firstRowStripe"/>
      <tableStyleElement dxfId="3" type="secondRowStripe"/>
    </tableStyle>
    <tableStyle count="3" pivot="0" name="Tabelle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G101"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Tabelle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F101" displayName="Table_2" name="Table_2" id="2">
  <tableColumns count="6">
    <tableColumn name="Nr" id="1"/>
    <tableColumn name="Station" id="2"/>
    <tableColumn name="Ort" id="3"/>
    <tableColumn name="Latitude" id="4"/>
    <tableColumn name="Longitude" id="5"/>
    <tableColumn name="ErklÃ¤rung" id="6"/>
  </tableColumns>
  <tableStyleInfo name="Tabelle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26.0"/>
    <col customWidth="1" min="3" max="3" width="36.0"/>
    <col customWidth="1" min="4" max="4" width="10.57"/>
    <col customWidth="1" min="5" max="5" width="12.14"/>
    <col customWidth="1" min="6" max="6" width="81.14"/>
    <col customWidth="1" min="7" max="26" width="10.71"/>
  </cols>
  <sheetData>
    <row r="1">
      <c r="A1" s="1" t="s">
        <v>0</v>
      </c>
      <c r="B1" s="1" t="s">
        <v>1</v>
      </c>
      <c r="C1" s="1" t="s">
        <v>2</v>
      </c>
      <c r="D1" s="1" t="s">
        <v>3</v>
      </c>
      <c r="E1" s="1" t="s">
        <v>4</v>
      </c>
      <c r="F1" s="1" t="s">
        <v>5</v>
      </c>
      <c r="G1" s="1"/>
    </row>
    <row r="2">
      <c r="A2" s="1">
        <v>1.0</v>
      </c>
      <c r="B2" s="1" t="s">
        <v>6</v>
      </c>
      <c r="C2" s="1" t="s">
        <v>7</v>
      </c>
      <c r="D2" s="1">
        <v>501096.0</v>
      </c>
      <c r="E2" s="1">
        <v>86724.0</v>
      </c>
      <c r="F2" s="1" t="s">
        <v>8</v>
      </c>
      <c r="G2" s="1" t="str">
        <f>IFERROR(__xludf.DUMMYFUNCTION("GOOGLETRANSLATE(F2, ""de"", ""fa"")"),"برج اصلی در فرانکفورت آم ماین یک آسمان خراش 200 متری با یک سکوی دید عموم است. این بلند مرتبه که در سال 2000 افتتاح شد، با نمای شیشه‌ای خود خط افق فرانکفورت را شکل می‌دهد و یکی از بلندترین ساختمان‌های آلمان است. از ارتفاع 198 متری می توانید از منظره ای پان"&amp;"وراما از شهر لذت ببرید.")</f>
        <v>برج اصلی در فرانکفورت آم ماین یک آسمان خراش 200 متری با یک سکوی دید عموم است. این بلند مرتبه که در سال 2000 افتتاح شد، با نمای شیشه‌ای خود خط افق فرانکفورت را شکل می‌دهد و یکی از بلندترین ساختمان‌های آلمان است. از ارتفاع 198 متری می توانید از منظره ای پانوراما از شهر لذت ببرید.</v>
      </c>
    </row>
    <row r="3">
      <c r="A3" s="1">
        <v>2.0</v>
      </c>
      <c r="B3" s="1" t="s">
        <v>9</v>
      </c>
      <c r="C3" s="1" t="s">
        <v>10</v>
      </c>
      <c r="D3" s="1">
        <v>501106.0</v>
      </c>
      <c r="E3" s="1">
        <v>86821.0</v>
      </c>
      <c r="F3" s="1" t="s">
        <v>11</v>
      </c>
      <c r="G3" s="1" t="str">
        <f>IFERROR(__xludf.DUMMYFUNCTION("GOOGLETRANSLATE(F3, ""de"", ""fa"")"),"فرانکفورت آم ماین به عنوان یک کلان شهر مالی، یکی از مهم ترین مراکز بانکی در اروپا است. خانه بانک مرکزی اروپا و بانک های بزرگ متعدد، خط افق با بیشترین آسمان خراش ها در آلمان به این شهر لقب «مینهتن» داده است.")</f>
        <v>فرانکفورت آم ماین به عنوان یک کلان شهر مالی، یکی از مهم ترین مراکز بانکی در اروپا است. خانه بانک مرکزی اروپا و بانک های بزرگ متعدد، خط افق با بیشترین آسمان خراش ها در آلمان به این شهر لقب «مینهتن» داده است.</v>
      </c>
    </row>
    <row r="4">
      <c r="A4" s="1">
        <v>3.0</v>
      </c>
      <c r="B4" s="1" t="s">
        <v>12</v>
      </c>
      <c r="C4" s="1" t="s">
        <v>13</v>
      </c>
      <c r="D4" s="1">
        <v>500826.0</v>
      </c>
      <c r="E4" s="1">
        <v>82435.0</v>
      </c>
      <c r="F4" s="1" t="s">
        <v>14</v>
      </c>
      <c r="G4" s="1" t="str">
        <f>IFERROR(__xludf.DUMMYFUNCTION("GOOGLETRANSLATE(F4, ""de"", ""fa"")"),"ویسبادن از قرن نوزدهم به عنوان یک شهر آبگرم پیشرفته در نظر گرفته شده است. خانه آبگرم نئوکلاسیک متعلق به سال 1907، چشمه‌های آبگرم و پارک‌های آبگرم وسیع هنوز هم فرهنگ تاریخی سلامتی امروزی را منعکس می‌کند.")</f>
        <v>ویسبادن از قرن نوزدهم به عنوان یک شهر آبگرم پیشرفته در نظر گرفته شده است. خانه آبگرم نئوکلاسیک متعلق به سال 1907، چشمه‌های آبگرم و پارک‌های آبگرم وسیع هنوز هم فرهنگ تاریخی سلامتی امروزی را منعکس می‌کند.</v>
      </c>
    </row>
    <row r="5">
      <c r="A5" s="1">
        <v>4.0</v>
      </c>
      <c r="B5" s="1" t="s">
        <v>15</v>
      </c>
      <c r="C5" s="1" t="s">
        <v>16</v>
      </c>
      <c r="D5" s="1">
        <v>499983.0</v>
      </c>
      <c r="E5" s="1">
        <v>82711.0</v>
      </c>
      <c r="F5" s="1" t="s">
        <v>17</v>
      </c>
      <c r="G5" s="1" t="str">
        <f>IFERROR(__xludf.DUMMYFUNCTION("GOOGLETRANSLATE(F5, ""de"", ""fa"")"),"یوهانس گوتنبرگ چاپ کتاب با حروف متحرک را در حدود سال 1450 در ماینتس متحول کرد. موزه گوتنبرگ، از جمله موارد زیر را نشان می دهد: دو انجیل گوتنبرگ و در مطبوعات تاریخی فناوری را نشان می دهد که مطالعه را در سراسر جهان تغییر داد.")</f>
        <v>یوهانس گوتنبرگ چاپ کتاب با حروف متحرک را در حدود سال 1450 در ماینتس متحول کرد. موزه گوتنبرگ، از جمله موارد زیر را نشان می دهد: دو انجیل گوتنبرگ و در مطبوعات تاریخی فناوری را نشان می دهد که مطالعه را در سراسر جهان تغییر داد.</v>
      </c>
    </row>
    <row r="6">
      <c r="A6" s="1">
        <v>5.0</v>
      </c>
      <c r="B6" s="1" t="s">
        <v>18</v>
      </c>
      <c r="C6" s="1" t="s">
        <v>19</v>
      </c>
      <c r="D6" s="1">
        <v>499992.0</v>
      </c>
      <c r="E6" s="1">
        <v>79433.0</v>
      </c>
      <c r="F6" s="1" t="s">
        <v>20</v>
      </c>
      <c r="G6" s="1" t="str">
        <f>IFERROR(__xludf.DUMMYFUNCTION("GOOGLETRANSLATE(F6, ""de"", ""fa"")"),"Drosselgasse در رودسهایم یک کوچه نیمه چوبی به طول 144 متر است که مملو از بارهای شراب است. جشنواره‌های شراب آنها با موسیقی زنده نشان‌دهنده فرهنگ شاداب شراب Rheingau است.")</f>
        <v>Drosselgasse در رودسهایم یک کوچه نیمه چوبی به طول 144 متر است که مملو از بارهای شراب است. جشنواره‌های شراب آنها با موسیقی زنده نشان‌دهنده فرهنگ شاداب شراب Rheingau است.</v>
      </c>
    </row>
    <row r="7">
      <c r="A7" s="1">
        <v>6.0</v>
      </c>
      <c r="B7" s="1" t="s">
        <v>21</v>
      </c>
      <c r="C7" s="1" t="s">
        <v>22</v>
      </c>
      <c r="D7" s="1">
        <v>49804.0</v>
      </c>
      <c r="E7" s="1">
        <v>7967.0</v>
      </c>
      <c r="F7" s="1" t="s">
        <v>23</v>
      </c>
      <c r="G7" s="1" t="str">
        <f>IFERROR(__xludf.DUMMYFUNCTION("GOOGLETRANSLATE(F7, ""de"", ""fa"")"),"هلن فیشر (*1984) در ولشتاین بزرگ شد و موفق ترین خواننده پاپ آلمان شد. آثاری مانند ""Breathless through the Night"" و جوایز متعدد زندگی حرفه ای او را شکل می دهند.")</f>
        <v>هلن فیشر (*1984) در ولشتاین بزرگ شد و موفق ترین خواننده پاپ آلمان شد. آثاری مانند "Breathless through the Night" و جوایز متعدد زندگی حرفه ای او را شکل می دهند.</v>
      </c>
    </row>
    <row r="8">
      <c r="A8" s="1">
        <v>7.0</v>
      </c>
      <c r="B8" s="1" t="s">
        <v>24</v>
      </c>
      <c r="C8" s="1" t="s">
        <v>25</v>
      </c>
      <c r="D8" s="1">
        <v>501389.0</v>
      </c>
      <c r="E8" s="1">
        <v>77089.0</v>
      </c>
      <c r="F8" s="1" t="s">
        <v>26</v>
      </c>
      <c r="G8" s="1" t="str">
        <f>IFERROR(__xludf.DUMMYFUNCTION("GOOGLETRANSLATE(F8, ""de"", ""fa"")"),"صخره لورلی با ارتفاع 132 متر در راین با افسانه ای پوشانده شده است: گفته می شود که یک پری دریایی قایقرانان را با آواز خود به هلاکت رساند. امروزه این دیدگاه بخشی از سایت میراث جهانی یونسکو دره راین میانه بالایی است.")</f>
        <v>صخره لورلی با ارتفاع 132 متر در راین با افسانه ای پوشانده شده است: گفته می شود که یک پری دریایی قایقرانان را با آواز خود به هلاکت رساند. امروزه این دیدگاه بخشی از سایت میراث جهانی یونسکو دره راین میانه بالایی است.</v>
      </c>
    </row>
    <row r="9">
      <c r="A9" s="1">
        <v>8.0</v>
      </c>
      <c r="B9" s="1" t="s">
        <v>27</v>
      </c>
      <c r="C9" s="1" t="s">
        <v>28</v>
      </c>
      <c r="D9" s="1">
        <v>501172.0</v>
      </c>
      <c r="E9" s="1">
        <v>76071.0</v>
      </c>
      <c r="F9" s="1" t="s">
        <v>29</v>
      </c>
      <c r="G9" s="1" t="str">
        <f>IFERROR(__xludf.DUMMYFUNCTION("GOOGLETRANSLATE(F9, ""de"", ""fa"")"),"انگورهای ریزلینگ در دامنه های شیب دار تخته سنگی در حلقه راین در نزدیکی بوپارد رشد می کنند. Bopparder Hamm سنت پرورش شراب در راین میانه را برای قرن ها مستند کرده است.")</f>
        <v>انگورهای ریزلینگ در دامنه های شیب دار تخته سنگی در حلقه راین در نزدیکی بوپارد رشد می کنند. Bopparder Hamm سنت پرورش شراب در راین میانه را برای قرن ها مستند کرده است.</v>
      </c>
    </row>
    <row r="10">
      <c r="A10" s="1">
        <v>9.0</v>
      </c>
      <c r="B10" s="1" t="s">
        <v>30</v>
      </c>
      <c r="C10" s="1" t="s">
        <v>31</v>
      </c>
      <c r="D10" s="1">
        <v>503569.0</v>
      </c>
      <c r="E10" s="1">
        <v>75881.0</v>
      </c>
      <c r="F10" s="1" t="s">
        <v>32</v>
      </c>
      <c r="G10" s="1" t="str">
        <f>IFERROR(__xludf.DUMMYFUNCTION("GOOGLETRANSLATE(F10, ""de"", ""fa"")"),"موزل و راین با هم در دویچ اک جریان دارند. مجسمه سوارکاری قیصر ویلهلم اول (1897) یادبود تأسیس امپراتوری است و پس از سال 1945 به نماد اتحاد آلمان تبدیل شد.")</f>
        <v>موزل و راین با هم در دویچ اک جریان دارند. مجسمه سوارکاری قیصر ویلهلم اول (1897) یادبود تأسیس امپراتوری است و پس از سال 1945 به نماد اتحاد آلمان تبدیل شد.</v>
      </c>
    </row>
    <row r="11">
      <c r="A11" s="1">
        <v>10.0</v>
      </c>
      <c r="B11" s="1" t="s">
        <v>33</v>
      </c>
      <c r="C11" s="1" t="s">
        <v>34</v>
      </c>
      <c r="D11" s="1">
        <v>503341.0</v>
      </c>
      <c r="E11" s="1">
        <v>69476.0</v>
      </c>
      <c r="F11" s="1" t="s">
        <v>35</v>
      </c>
      <c r="G11" s="1" t="str">
        <f>IFERROR(__xludf.DUMMYFUNCTION("GOOGLETRANSLATE(F11, ""de"", ""fa"")"),"بزرگراه های آلمان به عدم محدودیت سرعت شهرت دارند. در Nordschleife نوربرگ رینگ، رانندگان می توانند به طور قانونی سرعت های بالا را تجربه کنند - همتای کنترل شده ای برای عجله بزرگراه.")</f>
        <v>بزرگراه های آلمان به عدم محدودیت سرعت شهرت دارند. در Nordschleife نوربرگ رینگ، رانندگان می توانند به طور قانونی سرعت های بالا را تجربه کنند - همتای کنترل شده ای برای عجله بزرگراه.</v>
      </c>
    </row>
    <row r="12">
      <c r="A12" s="1">
        <v>11.0</v>
      </c>
      <c r="B12" s="1" t="s">
        <v>36</v>
      </c>
      <c r="C12" s="1" t="s">
        <v>37</v>
      </c>
      <c r="D12" s="1">
        <v>507368.0</v>
      </c>
      <c r="E12" s="1">
        <v>7101.0</v>
      </c>
      <c r="F12" s="1" t="s">
        <v>38</v>
      </c>
      <c r="G12" s="1" t="str">
        <f>IFERROR(__xludf.DUMMYFUNCTION("GOOGLETRANSLATE(F12, ""de"", ""fa"")"),"لودویگ ون بتهوون (1770-1827) در بن متولد شد. خانه ای که او در آن متولد شد، سازها و دست نوشته های اصلی این آهنگساز را حفظ می کند، که آثار او همچنان به شکل دادن به موسیقی کلاسیک امروز ادامه می دهد.")</f>
        <v>لودویگ ون بتهوون (1770-1827) در بن متولد شد. خانه ای که او در آن متولد شد، سازها و دست نوشته های اصلی این آهنگساز را حفظ می کند، که آثار او همچنان به شکل دادن به موسیقی کلاسیک امروز ادامه می دهد.</v>
      </c>
    </row>
    <row r="13">
      <c r="A13" s="1">
        <v>12.0</v>
      </c>
      <c r="B13" s="1" t="s">
        <v>39</v>
      </c>
      <c r="C13" s="1" t="s">
        <v>40</v>
      </c>
      <c r="D13" s="1">
        <v>509403.0</v>
      </c>
      <c r="E13" s="1">
        <v>6957.0</v>
      </c>
      <c r="F13" s="1" t="s">
        <v>41</v>
      </c>
      <c r="G13" s="1" t="str">
        <f>IFERROR(__xludf.DUMMYFUNCTION("GOOGLETRANSLATE(F13, ""de"", ""fa"")"),"کارناوال کلن که از سال 1823 برگزار می شود، شهر را به یک جشنواره محلی رنگارنگ از 11 نوامبر تا چهارشنبه خاکستر تبدیل می کند. نکته برجسته رژه روز دوشنبه با صدها هزار شوخی لباس پوش است.")</f>
        <v>کارناوال کلن که از سال 1823 برگزار می شود، شهر را به یک جشنواره محلی رنگارنگ از 11 نوامبر تا چهارشنبه خاکستر تبدیل می کند. نکته برجسته رژه روز دوشنبه با صدها هزار شوخی لباس پوش است.</v>
      </c>
    </row>
    <row r="14">
      <c r="A14" s="1">
        <v>13.0</v>
      </c>
      <c r="B14" s="1" t="s">
        <v>42</v>
      </c>
      <c r="C14" s="1" t="s">
        <v>43</v>
      </c>
      <c r="D14" s="1">
        <v>509413.0</v>
      </c>
      <c r="E14" s="1">
        <v>69583.0</v>
      </c>
      <c r="F14" s="1" t="s">
        <v>44</v>
      </c>
      <c r="G14" s="1" t="str">
        <f>IFERROR(__xludf.DUMMYFUNCTION("GOOGLETRANSLATE(F14, ""de"", ""fa"")"),"کنراد آدناور (۱۸۷۶–۱۹۶۷) شهردار کلن و اولین صدراعظم جمهوری فدرال بود. خانه او در Rhöndorf از تعهد او به بازسازی و پیوند با غرب می گوید.")</f>
        <v>کنراد آدناور (۱۸۷۶–۱۹۶۷) شهردار کلن و اولین صدراعظم جمهوری فدرال بود. خانه او در Rhöndorf از تعهد او به بازسازی و پیوند با غرب می گوید.</v>
      </c>
    </row>
    <row r="15">
      <c r="A15" s="1">
        <v>14.0</v>
      </c>
      <c r="B15" s="1" t="s">
        <v>45</v>
      </c>
      <c r="C15" s="1" t="s">
        <v>46</v>
      </c>
      <c r="D15" s="1">
        <v>512275.0</v>
      </c>
      <c r="E15" s="1">
        <v>6937.0</v>
      </c>
      <c r="F15" s="1" t="s">
        <v>47</v>
      </c>
      <c r="G15" s="1" t="str">
        <f>IFERROR(__xludf.DUMMYFUNCTION("GOOGLETRANSLATE(F15, ""de"", ""fa"")"),"جمجمه نئاندرتال که در سال 1856 کشف شد، تحولی در درک تکامل انسان ایجاد کرد. موزه نئاندرتال تاریخچه اقوام فسیلی ما را به تصویر می کشد.")</f>
        <v>جمجمه نئاندرتال که در سال 1856 کشف شد، تحولی در درک تکامل انسان ایجاد کرد. موزه نئاندرتال تاریخچه اقوام فسیلی ما را به تصویر می کشد.</v>
      </c>
    </row>
    <row r="16">
      <c r="A16" s="1">
        <v>15.0</v>
      </c>
      <c r="B16" s="1" t="s">
        <v>48</v>
      </c>
      <c r="C16" s="1" t="s">
        <v>49</v>
      </c>
      <c r="D16" s="1">
        <v>512277.0</v>
      </c>
      <c r="E16" s="1">
        <v>67735.0</v>
      </c>
      <c r="F16" s="1" t="s">
        <v>50</v>
      </c>
      <c r="G16" s="1" t="str">
        <f>IFERROR(__xludf.DUMMYFUNCTION("GOOGLETRANSLATE(F16, ""de"", ""fa"")"),"دوسلدورف شهر قدیمی، مد و فرهنگ نمایشگاه تجاری را با معماری مدرن در بندر رسانه ترکیب می کند. برج راین منظره ای پانوراما از کلان شهر راین و صحنه هنری و خرید آن را ارائه می دهد.")</f>
        <v>دوسلدورف شهر قدیمی، مد و فرهنگ نمایشگاه تجاری را با معماری مدرن در بندر رسانه ترکیب می کند. برج راین منظره ای پانوراما از کلان شهر راین و صحنه هنری و خرید آن را ارائه می دهد.</v>
      </c>
    </row>
    <row r="17">
      <c r="A17" s="1">
        <v>16.0</v>
      </c>
      <c r="B17" s="1" t="s">
        <v>51</v>
      </c>
      <c r="C17" s="1" t="s">
        <v>52</v>
      </c>
      <c r="D17" s="1">
        <v>514344.0</v>
      </c>
      <c r="E17" s="1">
        <v>67573.0</v>
      </c>
      <c r="F17" s="1" t="s">
        <v>53</v>
      </c>
      <c r="G17" s="1" t="str">
        <f>IFERROR(__xludf.DUMMYFUNCTION("GOOGLETRANSLATE(F17, ""de"", ""fa"")"),"بندر داخلی دویسبورگ که زمانی بندر انبار و تجاری بود، به یک منطقه فرهنگی و اداری تبدیل شد. انبارهای انبار و موزه های بازسازی شده تغییر ساختاری موفق از فولاد به فرهنگ را نشان می دهد.")</f>
        <v>بندر داخلی دویسبورگ که زمانی بندر انبار و تجاری بود، به یک منطقه فرهنگی و اداری تبدیل شد. انبارهای انبار و موزه های بازسازی شده تغییر ساختاری موفق از فولاد به فرهنگ را نشان می دهد.</v>
      </c>
    </row>
    <row r="18">
      <c r="A18" s="1">
        <v>17.0</v>
      </c>
      <c r="B18" s="1" t="s">
        <v>54</v>
      </c>
      <c r="C18" s="1" t="s">
        <v>55</v>
      </c>
      <c r="D18" s="1">
        <v>514839.0</v>
      </c>
      <c r="E18" s="1">
        <v>70226.0</v>
      </c>
      <c r="F18" s="1" t="s">
        <v>56</v>
      </c>
      <c r="G18" s="1" t="str">
        <f>IFERROR(__xludf.DUMMYFUNCTION("GOOGLETRANSLATE(F18, ""de"", ""fa"")"),"معدن بلااستفاده Zollverein، یک مجموعه صنعتی باهاوس، یک سایت میراث جهانی یونسکو است. نمایشگاه ها و رویدادها تاریخ معدنکاری منطقه روهر را زنده می کنند.")</f>
        <v>معدن بلااستفاده Zollverein، یک مجموعه صنعتی باهاوس، یک سایت میراث جهانی یونسکو است. نمایشگاه ها و رویدادها تاریخ معدنکاری منطقه روهر را زنده می کنند.</v>
      </c>
    </row>
    <row r="19">
      <c r="A19" s="1">
        <v>18.0</v>
      </c>
      <c r="B19" s="1" t="s">
        <v>57</v>
      </c>
      <c r="C19" s="1" t="s">
        <v>58</v>
      </c>
      <c r="D19" s="1">
        <v>5149.0</v>
      </c>
      <c r="E19" s="1">
        <v>70375.0</v>
      </c>
      <c r="F19" s="1" t="s">
        <v>59</v>
      </c>
      <c r="G19" s="1" t="str">
        <f>IFERROR(__xludf.DUMMYFUNCTION("GOOGLETRANSLATE(F19, ""de"", ""fa"")"),"کارخانه کک سازی Zollverein تا سال 1993 زغال سنگ را به کک تبدیل می کرد و اکنون بخشی از میراث فرهنگی جهانی است. بازدیدکنندگان برج های پیچ در پیچ، کوره ها و سکوهای تماشای یک بنای تاریخی برجسته را کشف می کنند.")</f>
        <v>کارخانه کک سازی Zollverein تا سال 1993 زغال سنگ را به کک تبدیل می کرد و اکنون بخشی از میراث فرهنگی جهانی است. بازدیدکنندگان برج های پیچ در پیچ، کوره ها و سکوهای تماشای یک بنای تاریخی برجسته را کشف می کنند.</v>
      </c>
    </row>
    <row r="20">
      <c r="A20" s="1">
        <v>19.0</v>
      </c>
      <c r="B20" s="1" t="s">
        <v>60</v>
      </c>
      <c r="C20" s="1" t="s">
        <v>61</v>
      </c>
      <c r="D20" s="1">
        <v>514925.0</v>
      </c>
      <c r="E20" s="1">
        <v>74517.0</v>
      </c>
      <c r="F20" s="1" t="s">
        <v>62</v>
      </c>
      <c r="G20" s="1" t="str">
        <f>IFERROR(__xludf.DUMMYFUNCTION("GOOGLETRANSLATE(F20, ""de"", ""fa"")"),"ورزشگاه بوروسیا دورتموند با ""دیوار زرد"" افسانه‌ای نشان دهنده فرهنگ هواداران بوندسلیگا است که از سال 1963 میلیون‌ها نفر را به وجد آورده است.")</f>
        <v>ورزشگاه بوروسیا دورتموند با "دیوار زرد" افسانه‌ای نشان دهنده فرهنگ هواداران بوندسلیگا است که از سال 1963 میلیون‌ها نفر را به وجد آورده است.</v>
      </c>
    </row>
    <row r="21" ht="15.75" customHeight="1">
      <c r="A21" s="1">
        <v>20.0</v>
      </c>
      <c r="B21" s="1" t="s">
        <v>63</v>
      </c>
      <c r="C21" s="1" t="s">
        <v>64</v>
      </c>
      <c r="D21" s="1">
        <v>519628.0</v>
      </c>
      <c r="E21" s="1">
        <v>76254.0</v>
      </c>
      <c r="F21" s="1" t="s">
        <v>65</v>
      </c>
      <c r="G21" s="1" t="str">
        <f>IFERROR(__xludf.DUMMYFUNCTION("GOOGLETRANSLATE(F21, ""de"", ""fa"")"),"بازار اصلی مونستر با خانه‌های شیروانی و پاساژها، تالار شهر و Lambertikirche ترکیبی از معماری قرون وسطایی و بازسازی است. دوچرخه ها و تاریخچه صلح، منظره شهر را مشخص می کند.")</f>
        <v>بازار اصلی مونستر با خانه‌های شیروانی و پاساژها، تالار شهر و Lambertikirche ترکیبی از معماری قرون وسطایی و بازسازی است. دوچرخه ها و تاریخچه صلح، منظره شهر را مشخص می کند.</v>
      </c>
    </row>
    <row r="22" ht="15.75" customHeight="1">
      <c r="A22" s="1">
        <v>21.0</v>
      </c>
      <c r="B22" s="1" t="s">
        <v>66</v>
      </c>
      <c r="C22" s="1" t="s">
        <v>67</v>
      </c>
      <c r="D22" s="1">
        <v>520302.0</v>
      </c>
      <c r="E22" s="1">
        <v>85325.0</v>
      </c>
      <c r="F22" s="1" t="s">
        <v>68</v>
      </c>
      <c r="G22" s="1" t="str">
        <f>IFERROR(__xludf.DUMMYFUNCTION("GOOGLETRANSLATE(F22, ""de"", ""fa"")"),"برج اسپارنبورگ قرون وسطایی بر فراز بیله‌فلد در لبه جنگل توتوبورگ، که از نظر تاریخی به‌خاطر نبرد واروس (۹ پس از میلاد) معروف است، برجستگی دارد.")</f>
        <v>برج اسپارنبورگ قرون وسطایی بر فراز بیله‌فلد در لبه جنگل توتوبورگ، که از نظر تاریخی به‌خاطر نبرد واروس (۹ پس از میلاد) معروف است، برجستگی دارد.</v>
      </c>
    </row>
    <row r="23" ht="15.75" customHeight="1">
      <c r="A23" s="1">
        <v>22.0</v>
      </c>
      <c r="B23" s="1" t="s">
        <v>69</v>
      </c>
      <c r="C23" s="1" t="s">
        <v>70</v>
      </c>
      <c r="D23" s="1">
        <v>523759.0</v>
      </c>
      <c r="E23" s="1">
        <v>9732.0</v>
      </c>
      <c r="F23" s="1" t="s">
        <v>71</v>
      </c>
      <c r="G23" s="1" t="str">
        <f>IFERROR(__xludf.DUMMYFUNCTION("GOOGLETRANSLATE(F23, ""de"", ""fa"")"),"تالار شهر جدید ویلهلمین هانوفر (1913) نماد بازسازی شهر است، که اکنون یک مکان نمایشگاه تجاری و شهری سبز با باغ های هرنهاوزن است.")</f>
        <v>تالار شهر جدید ویلهلمین هانوفر (1913) نماد بازسازی شهر است، که اکنون یک مکان نمایشگاه تجاری و شهری سبز با باغ های هرنهاوزن است.</v>
      </c>
    </row>
    <row r="24" ht="15.75" customHeight="1">
      <c r="A24" s="1">
        <v>23.0</v>
      </c>
      <c r="B24" s="1" t="s">
        <v>72</v>
      </c>
      <c r="C24" s="1" t="s">
        <v>73</v>
      </c>
      <c r="D24" s="1">
        <v>523759.0</v>
      </c>
      <c r="E24" s="1">
        <v>9732.0</v>
      </c>
      <c r="F24" s="1" t="s">
        <v>74</v>
      </c>
      <c r="G24" s="1" t="str">
        <f>IFERROR(__xludf.DUMMYFUNCTION("GOOGLETRANSLATE(F24, ""de"", ""fa"")"),"نظریه پرداز سیاسی هانا آرنت (1906-1975) در هانوفر متولد شد. هانا آرنت پلاتز یادآور دموکراسی، آزادی و مسئولیت است.")</f>
        <v>نظریه پرداز سیاسی هانا آرنت (1906-1975) در هانوفر متولد شد. هانا آرنت پلاتز یادآور دموکراسی، آزادی و مسئولیت است.</v>
      </c>
    </row>
    <row r="25" ht="15.75" customHeight="1">
      <c r="A25" s="1">
        <v>24.0</v>
      </c>
      <c r="B25" s="1" t="s">
        <v>75</v>
      </c>
      <c r="C25" s="1" t="s">
        <v>76</v>
      </c>
      <c r="D25" s="1">
        <v>523728.0</v>
      </c>
      <c r="E25" s="1">
        <v>97441.0</v>
      </c>
      <c r="F25" s="1" t="s">
        <v>77</v>
      </c>
      <c r="G25" s="1" t="str">
        <f>IFERROR(__xludf.DUMMYFUNCTION("GOOGLETRANSLATE(F25, ""de"", ""fa"")"),"اکسپو 2000 اولین نمایشگاه جهانی در آلمان بود. غرفه ها و ساختمان های جدید در پارک اکسپو یادآور مفاهیم نوآورانه در مورد مردم، طبیعت و فناوری هستند.")</f>
        <v>اکسپو 2000 اولین نمایشگاه جهانی در آلمان بود. غرفه ها و ساختمان های جدید در پارک اکسپو یادآور مفاهیم نوآورانه در مورد مردم، طبیعت و فناوری هستند.</v>
      </c>
    </row>
    <row r="26" ht="15.75" customHeight="1">
      <c r="A26" s="1">
        <v>25.0</v>
      </c>
      <c r="B26" s="1" t="s">
        <v>78</v>
      </c>
      <c r="C26" s="1" t="s">
        <v>79</v>
      </c>
      <c r="D26" s="1">
        <v>523909.0</v>
      </c>
      <c r="E26" s="1">
        <v>97335.0</v>
      </c>
      <c r="F26" s="1" t="s">
        <v>80</v>
      </c>
      <c r="G26" s="1" t="str">
        <f>IFERROR(__xludf.DUMMYFUNCTION("GOOGLETRANSLATE(F26, ""de"", ""fa"")"),"کاخ بازسازی شده هرنهاوزن در وسط باغ معروف باروک هرنهاوزن با آب و یک باغ کوهستانی گیاه شناسی واقع شده است.")</f>
        <v>کاخ بازسازی شده هرنهاوزن در وسط باغ معروف باروک هرنهاوزن با آب و یک باغ کوهستانی گیاه شناسی واقع شده است.</v>
      </c>
    </row>
    <row r="27" ht="15.75" customHeight="1">
      <c r="A27" s="1">
        <v>26.0</v>
      </c>
      <c r="B27" s="1" t="s">
        <v>81</v>
      </c>
      <c r="C27" s="1" t="s">
        <v>81</v>
      </c>
      <c r="D27" s="1">
        <v>522689.0</v>
      </c>
      <c r="E27" s="1">
        <v>105268.0</v>
      </c>
      <c r="F27" s="1" t="s">
        <v>82</v>
      </c>
      <c r="G27" s="1" t="str">
        <f>IFERROR(__xludf.DUMMYFUNCTION("GOOGLETRANSLATE(F27, ""de"", ""fa"")"),"نمای قلعه گوئلف که در جنگ ویران شد، در سال 2007 در مقابل یک مرکز خرید و فرهنگی مدرن قرار گرفت - نمونه ای از سنت در ظاهری جدید.")</f>
        <v>نمای قلعه گوئلف که در جنگ ویران شد، در سال 2007 در مقابل یک مرکز خرید و فرهنگی مدرن قرار گرفت - نمونه ای از سنت در ظاهری جدید.</v>
      </c>
    </row>
    <row r="28" ht="15.75" customHeight="1">
      <c r="A28" s="1">
        <v>27.0</v>
      </c>
      <c r="B28" s="1" t="s">
        <v>83</v>
      </c>
      <c r="C28" s="1" t="s">
        <v>84</v>
      </c>
      <c r="D28" s="1">
        <v>524224.0</v>
      </c>
      <c r="E28" s="1">
        <v>107864.0</v>
      </c>
      <c r="F28" s="1" t="s">
        <v>85</v>
      </c>
      <c r="G28" s="1" t="str">
        <f>IFERROR(__xludf.DUMMYFUNCTION("GOOGLETRANSLATE(F28, ""de"", ""fa"")"),"مرکز علمی Phaeno که توسط زاها حدید طراحی شده است، پدیده های طبیعی را به صورت تعاملی صحنه سازی می کند. این تاریخچه Autostadt و VW ولفسبورگ را با تجربیات علمی تکمیل می کند.")</f>
        <v>مرکز علمی Phaeno که توسط زاها حدید طراحی شده است، پدیده های طبیعی را به صورت تعاملی صحنه سازی می کند. این تاریخچه Autostadt و VW ولفسبورگ را با تجربیات علمی تکمیل می کند.</v>
      </c>
    </row>
    <row r="29" ht="15.75" customHeight="1">
      <c r="A29" s="1">
        <v>28.0</v>
      </c>
      <c r="B29" s="1" t="s">
        <v>86</v>
      </c>
      <c r="C29" s="1" t="s">
        <v>87</v>
      </c>
      <c r="D29" s="1">
        <v>524225.0</v>
      </c>
      <c r="E29" s="1">
        <v>107864.0</v>
      </c>
      <c r="F29" s="1" t="s">
        <v>88</v>
      </c>
      <c r="G29" s="1" t="str">
        <f>IFERROR(__xludf.DUMMYFUNCTION("GOOGLETRANSLATE(F29, ""de"", ""fa"")"),"Autostadt ولفسبورگ که در سال 1938 به عنوان مکانی برای فولکس‌واگن بیتل تأسیس شد، تاریخچه این شرکت و خودرو را با غرفه‌ها و اتومبیل‌های قدیمی بازگو می‌کند.")</f>
        <v>Autostadt ولفسبورگ که در سال 1938 به عنوان مکانی برای فولکس‌واگن بیتل تأسیس شد، تاریخچه این شرکت و خودرو را با غرفه‌ها و اتومبیل‌های قدیمی بازگو می‌کند.</v>
      </c>
    </row>
    <row r="30" ht="15.75" customHeight="1">
      <c r="A30" s="1">
        <v>29.0</v>
      </c>
      <c r="B30" s="1" t="s">
        <v>89</v>
      </c>
      <c r="C30" s="1" t="s">
        <v>90</v>
      </c>
      <c r="D30" s="1">
        <v>519045.0</v>
      </c>
      <c r="E30" s="1">
        <v>104297.0</v>
      </c>
      <c r="F30" s="1" t="s">
        <v>91</v>
      </c>
      <c r="G30" s="1" t="str">
        <f>IFERROR(__xludf.DUMMYFUNCTION("GOOGLETRANSLATE(F30, ""de"", ""fa"")"),"شهر قدیمی نیمه چوبی گوسلار و معدن سنگ معدن راملزبرگ یک سایت مشترک میراث جهانی یونسکو را تشکیل می دهند: هزاره معدن سنگ هارتز با یک شهر امپراتوری قرون وسطایی ملاقات می کند.")</f>
        <v>شهر قدیمی نیمه چوبی گوسلار و معدن سنگ معدن راملزبرگ یک سایت مشترک میراث جهانی یونسکو را تشکیل می دهند: هزاره معدن سنگ هارتز با یک شهر امپراتوری قرون وسطایی ملاقات می کند.</v>
      </c>
    </row>
    <row r="31" ht="15.75" customHeight="1">
      <c r="A31" s="1">
        <v>30.0</v>
      </c>
      <c r="B31" s="1" t="s">
        <v>92</v>
      </c>
      <c r="C31" s="1" t="s">
        <v>93</v>
      </c>
      <c r="D31" s="1">
        <v>515403.0</v>
      </c>
      <c r="E31" s="1">
        <v>99357.0</v>
      </c>
      <c r="F31" s="1" t="s">
        <v>94</v>
      </c>
      <c r="G31" s="1" t="str">
        <f>IFERROR(__xludf.DUMMYFUNCTION("GOOGLETRANSLATE(F31, ""de"", ""fa"")"),"دانشگاه گوتینگن این شهر را از سال 1737 شکل داده است. فواره Gänseliesel به عنوان ""بوسیده ترین دختر جهان"" شناخته می شود زیرا دانشجویان تازه فارغ التحصیل دکترا مجسمه را می بوسند.")</f>
        <v>دانشگاه گوتینگن این شهر را از سال 1737 شکل داده است. فواره Gänseliesel به عنوان "بوسیده ترین دختر جهان" شناخته می شود زیرا دانشجویان تازه فارغ التحصیل دکترا مجسمه را می بوسند.</v>
      </c>
    </row>
    <row r="32" ht="15.75" customHeight="1">
      <c r="A32" s="1">
        <v>31.0</v>
      </c>
      <c r="B32" s="1" t="s">
        <v>95</v>
      </c>
      <c r="C32" s="1" t="s">
        <v>96</v>
      </c>
      <c r="D32" s="1">
        <v>513155.0</v>
      </c>
      <c r="E32" s="1">
        <v>94962.0</v>
      </c>
      <c r="F32" s="1" t="s">
        <v>97</v>
      </c>
      <c r="G32" s="1" t="str">
        <f>IFERROR(__xludf.DUMMYFUNCTION("GOOGLETRANSLATE(F32, ""de"", ""fa"")"),"ژاکوب و ویلهلم گریم افسانه های مشهور جهانی خود را در کاسل جمع آوری کردند. دنیای گریم نسخه های خطی و میراث زبانی را ارائه می دهد.")</f>
        <v>ژاکوب و ویلهلم گریم افسانه های مشهور جهانی خود را در کاسل جمع آوری کردند. دنیای گریم نسخه های خطی و میراث زبانی را ارائه می دهد.</v>
      </c>
    </row>
    <row r="33" ht="15.75" customHeight="1">
      <c r="A33" s="1">
        <v>32.0</v>
      </c>
      <c r="B33" s="1" t="s">
        <v>98</v>
      </c>
      <c r="C33" s="1" t="s">
        <v>99</v>
      </c>
      <c r="D33" s="1">
        <v>513118.0</v>
      </c>
      <c r="E33" s="1">
        <v>9497.0</v>
      </c>
      <c r="F33" s="1" t="s">
        <v>100</v>
      </c>
      <c r="G33" s="1" t="str">
        <f>IFERROR(__xludf.DUMMYFUNCTION("GOOGLETRANSLATE(F33, ""de"", ""fa"")"),"این مستند که هر پنج سال یکبار برگزار می شود، کاسل را به پایتخت هنر معاصر جهانی تبدیل می کند و شهر را به یک موزه بزرگ در فضای باز تبدیل می کند.")</f>
        <v>این مستند که هر پنج سال یکبار برگزار می شود، کاسل را به پایتخت هنر معاصر جهانی تبدیل می کند و شهر را به یک موزه بزرگ در فضای باز تبدیل می کند.</v>
      </c>
    </row>
    <row r="34" ht="15.75" customHeight="1">
      <c r="A34" s="1">
        <v>33.0</v>
      </c>
      <c r="B34" s="1" t="s">
        <v>101</v>
      </c>
      <c r="C34" s="1" t="s">
        <v>102</v>
      </c>
      <c r="D34" s="1">
        <v>513116.0</v>
      </c>
      <c r="E34" s="1">
        <v>94797.0</v>
      </c>
      <c r="F34" s="1" t="s">
        <v>103</v>
      </c>
      <c r="G34" s="1" t="str">
        <f>IFERROR(__xludf.DUMMYFUNCTION("GOOGLETRANSLATE(F34, ""de"", ""fa"")"),"بزرگترین پارک در دامنه تپه اروپا با مجسمه هرکول و آب‌نماهای باروک در فهرست میراث جهانی یونسکو و گواهی بر هنر باغ لندگرو است.")</f>
        <v>بزرگترین پارک در دامنه تپه اروپا با مجسمه هرکول و آب‌نماهای باروک در فهرست میراث جهانی یونسکو و گواهی بر هنر باغ لندگرو است.</v>
      </c>
    </row>
    <row r="35" ht="15.75" customHeight="1">
      <c r="A35" s="1">
        <v>34.0</v>
      </c>
      <c r="B35" s="1" t="s">
        <v>104</v>
      </c>
      <c r="C35" s="1" t="s">
        <v>105</v>
      </c>
      <c r="D35" s="1">
        <v>509711.0</v>
      </c>
      <c r="E35" s="1">
        <v>103277.0</v>
      </c>
      <c r="F35" s="1" t="s">
        <v>106</v>
      </c>
      <c r="G35" s="1" t="str">
        <f>IFERROR(__xludf.DUMMYFUNCTION("GOOGLETRANSLATE(F35, ""de"", ""fa"")"),"در سال 1817، دانشجویان دانشگاه وارتبورگ خواستار اتحاد ملی و آزادی های مدنی شدند. این قلعه همچنین به دلیل ترجمه لوتر از کتاب مقدس مشهور است.")</f>
        <v>در سال 1817، دانشجویان دانشگاه وارتبورگ خواستار اتحاد ملی و آزادی های مدنی شدند. این قلعه همچنین به دلیل ترجمه لوتر از کتاب مقدس مشهور است.</v>
      </c>
    </row>
    <row r="36" ht="15.75" customHeight="1">
      <c r="A36" s="1">
        <v>35.0</v>
      </c>
      <c r="B36" s="1" t="s">
        <v>107</v>
      </c>
      <c r="C36" s="1" t="s">
        <v>108</v>
      </c>
      <c r="D36" s="1">
        <v>509848.0</v>
      </c>
      <c r="E36" s="1">
        <v>110299.0</v>
      </c>
      <c r="F36" s="1" t="s">
        <v>109</v>
      </c>
      <c r="G36" s="1" t="str">
        <f>IFERROR(__xludf.DUMMYFUNCTION("GOOGLETRANSLATE(F36, ""de"", ""fa"")"),"کلیسای جامع گوتیک ارفورت، گلوریوسا، بزرگترین ناقوس قرون وسطایی را در خود جای داده است. مارتین لوتر در سال 1507 در اینجا به عنوان کشیش منصوب شد.")</f>
        <v>کلیسای جامع گوتیک ارفورت، گلوریوسا، بزرگترین ناقوس قرون وسطایی را در خود جای داده است. مارتین لوتر در سال 1507 در اینجا به عنوان کشیش منصوب شد.</v>
      </c>
    </row>
    <row r="37" ht="15.75" customHeight="1">
      <c r="A37" s="1">
        <v>36.0</v>
      </c>
      <c r="B37" s="1" t="s">
        <v>110</v>
      </c>
      <c r="C37" s="1" t="s">
        <v>111</v>
      </c>
      <c r="D37" s="1">
        <v>509795.0</v>
      </c>
      <c r="E37" s="1">
        <v>11329.0</v>
      </c>
      <c r="F37" s="1" t="s">
        <v>112</v>
      </c>
      <c r="G37" s="1" t="str">
        <f>IFERROR(__xludf.DUMMYFUNCTION("GOOGLETRANSLATE(F37, ""de"", ""fa"")"),"خانه گوته اتاق ها و مجموعه های اصلی شاعر را نشان می دهد که به همراه شیلر کلاسیک گرایی وایمار را شکل دادند.")</f>
        <v>خانه گوته اتاق ها و مجموعه های اصلی شاعر را نشان می دهد که به همراه شیلر کلاسیک گرایی وایمار را شکل دادند.</v>
      </c>
    </row>
    <row r="38" ht="15.75" customHeight="1">
      <c r="A38" s="1">
        <v>37.0</v>
      </c>
      <c r="B38" s="1" t="s">
        <v>113</v>
      </c>
      <c r="C38" s="1" t="s">
        <v>114</v>
      </c>
      <c r="D38" s="1">
        <v>509793.0</v>
      </c>
      <c r="E38" s="1">
        <v>113292.0</v>
      </c>
      <c r="F38" s="1" t="s">
        <v>115</v>
      </c>
      <c r="G38" s="1" t="str">
        <f>IFERROR(__xludf.DUMMYFUNCTION("GOOGLETRANSLATE(F38, ""de"", ""fa"")"),"کاهش ارزش پول جمهوری وایمار در سال 1923 به اوج خود رسید: قیمت ها منفجر شد، پس انداز سقوط کرد - یک آسیب در تاریخ اقتصادی آلمان.")</f>
        <v>کاهش ارزش پول جمهوری وایمار در سال 1923 به اوج خود رسید: قیمت ها منفجر شد، پس انداز سقوط کرد - یک آسیب در تاریخ اقتصادی آلمان.</v>
      </c>
    </row>
    <row r="39" ht="15.75" customHeight="1">
      <c r="A39" s="1">
        <v>38.0</v>
      </c>
      <c r="B39" s="1" t="s">
        <v>116</v>
      </c>
      <c r="C39" s="1" t="s">
        <v>117</v>
      </c>
      <c r="D39" s="1">
        <v>505451.0</v>
      </c>
      <c r="E39" s="1">
        <v>112147.0</v>
      </c>
      <c r="F39" s="1" t="s">
        <v>118</v>
      </c>
      <c r="G39" s="1" t="str">
        <f>IFERROR(__xludf.DUMMYFUNCTION("GOOGLETRANSLATE(F39, ""de"", ""fa"")"),"Rennsteig Kammweg به طول 170 کیلومتر، قدیمی‌ترین مسیر پیاده‌روی طولانی در آلمان است و مناظر فرهنگی و طبیعی جنگل تورینگن را به هم متصل می‌کند.")</f>
        <v>Rennsteig Kammweg به طول 170 کیلومتر، قدیمی‌ترین مسیر پیاده‌روی طولانی در آلمان است و مناظر فرهنگی و طبیعی جنگل تورینگن را به هم متصل می‌کند.</v>
      </c>
    </row>
    <row r="40" ht="15.75" customHeight="1">
      <c r="A40" s="1">
        <v>39.0</v>
      </c>
      <c r="B40" s="1" t="s">
        <v>119</v>
      </c>
      <c r="C40" s="1" t="s">
        <v>120</v>
      </c>
      <c r="D40" s="1">
        <v>505477.0</v>
      </c>
      <c r="E40" s="1">
        <v>111681.0</v>
      </c>
      <c r="F40" s="1" t="s">
        <v>121</v>
      </c>
      <c r="G40" s="1" t="str">
        <f>IFERROR(__xludf.DUMMYFUNCTION("GOOGLETRANSLATE(F40, ""de"", ""fa"")"),"Lauscha را زادگاه توپ شیشه ای درخت کریسمس می دانند. مشاغل خانوادگی از سال 1597 هنر دمیدن شیشه را در اینجا پرورش داده اند.")</f>
        <v>Lauscha را زادگاه توپ شیشه ای درخت کریسمس می دانند. مشاغل خانوادگی از سال 1597 هنر دمیدن شیشه را در اینجا پرورش داده اند.</v>
      </c>
    </row>
    <row r="41" ht="15.75" customHeight="1">
      <c r="A41" s="1">
        <v>40.0</v>
      </c>
      <c r="B41" s="1" t="s">
        <v>122</v>
      </c>
      <c r="C41" s="1" t="s">
        <v>123</v>
      </c>
      <c r="D41" s="1">
        <v>502599.0</v>
      </c>
      <c r="E41" s="1">
        <v>109644.0</v>
      </c>
      <c r="F41" s="1" t="s">
        <v>124</v>
      </c>
      <c r="G41" s="1" t="str">
        <f>IFERROR(__xludf.DUMMYFUNCTION("GOOGLETRANSLATE(F41, ""de"", ""fa"")"),"Veste Coburg، یکی از بزرگترین قلعه های آلمان، مجموعه های هنری را در خود جای داده و در سال 1530 پناهگاه لوتر بود.")</f>
        <v>Veste Coburg، یکی از بزرگترین قلعه های آلمان، مجموعه های هنری را در خود جای داده و در سال 1530 پناهگاه لوتر بود.</v>
      </c>
    </row>
    <row r="42" ht="15.75" customHeight="1">
      <c r="A42" s="1">
        <v>41.0</v>
      </c>
      <c r="B42" s="1" t="s">
        <v>125</v>
      </c>
      <c r="C42" s="1" t="s">
        <v>126</v>
      </c>
      <c r="D42" s="1">
        <v>501011.0</v>
      </c>
      <c r="E42" s="1">
        <v>11438.0</v>
      </c>
      <c r="F42" s="1" t="s">
        <v>127</v>
      </c>
      <c r="G42" s="1" t="str">
        <f>IFERROR(__xludf.DUMMYFUNCTION("GOOGLETRANSLATE(F42, ""de"", ""fa"")"),"کولباخ در موزه آبجوسازی باواریا سنت های قوی آبجو و آیسبوک را ارائه می دهد و هر سال هفته آبجو را جشن می گیرد.")</f>
        <v>کولباخ در موزه آبجوسازی باواریا سنت های قوی آبجو و آیسبوک را ارائه می دهد و هر سال هفته آبجو را جشن می گیرد.</v>
      </c>
    </row>
    <row r="43" ht="15.75" customHeight="1">
      <c r="A43" s="1">
        <v>42.0</v>
      </c>
      <c r="B43" s="1" t="s">
        <v>128</v>
      </c>
      <c r="C43" s="1" t="s">
        <v>129</v>
      </c>
      <c r="D43" s="1">
        <v>501011.0</v>
      </c>
      <c r="E43" s="1">
        <v>11438.0</v>
      </c>
      <c r="F43" s="1" t="s">
        <v>130</v>
      </c>
      <c r="G43" s="1" t="str">
        <f>IFERROR(__xludf.DUMMYFUNCTION("GOOGLETRANSLATE(F43, ""de"", ""fa"")"),"هنر آبجوسازی فرانکونی با قانون خلوص: آبجوهای قوی Kulmbacher از شهرت بین‌المللی برخوردارند و هویت محلی را شکل می‌دهند.")</f>
        <v>هنر آبجوسازی فرانکونی با قانون خلوص: آبجوهای قوی Kulmbacher از شهرت بین‌المللی برخوردارند و هویت محلی را شکل می‌دهند.</v>
      </c>
    </row>
    <row r="44" ht="15.75" customHeight="1">
      <c r="A44" s="1">
        <v>43.0</v>
      </c>
      <c r="B44" s="1" t="s">
        <v>131</v>
      </c>
      <c r="C44" s="1" t="s">
        <v>132</v>
      </c>
      <c r="D44" s="1">
        <v>499487.0</v>
      </c>
      <c r="E44" s="1">
        <v>11576.0</v>
      </c>
      <c r="F44" s="1" t="s">
        <v>133</v>
      </c>
      <c r="G44" s="1" t="str">
        <f>IFERROR(__xludf.DUMMYFUNCTION("GOOGLETRANSLATE(F44, ""de"", ""fa"")"),"خانه اپرای Margravial (1748) یک تئاتر باروک کاملاً حفظ شده و یک سایت میراث جهانی یونسکو است - جواهری از فرهنگ جشنواره درباری.")</f>
        <v>خانه اپرای Margravial (1748) یک تئاتر باروک کاملاً حفظ شده و یک سایت میراث جهانی یونسکو است - جواهری از فرهنگ جشنواره درباری.</v>
      </c>
    </row>
    <row r="45" ht="15.75" customHeight="1">
      <c r="A45" s="1">
        <v>44.0</v>
      </c>
      <c r="B45" s="1" t="s">
        <v>134</v>
      </c>
      <c r="C45" s="1" t="s">
        <v>135</v>
      </c>
      <c r="D45" s="1">
        <v>499451.0</v>
      </c>
      <c r="E45" s="1">
        <v>115908.0</v>
      </c>
      <c r="F45" s="1" t="s">
        <v>136</v>
      </c>
      <c r="G45" s="1" t="str">
        <f>IFERROR(__xludf.DUMMYFUNCTION("GOOGLETRANSLATE(F45, ""de"", ""fa"")"),"سالن جشنواره که در سال 1876 افتتاح شد و به صورت آکوستیک برای درام های موزیکال واگنر طراحی شده است، دوستداران اپرا را از سراسر جهان به جشنواره بایروث جذب می کند.")</f>
        <v>سالن جشنواره که در سال 1876 افتتاح شد و به صورت آکوستیک برای درام های موزیکال واگنر طراحی شده است، دوستداران اپرا را از سراسر جهان به جشنواره بایروث جذب می کند.</v>
      </c>
    </row>
    <row r="46" ht="15.75" customHeight="1">
      <c r="A46" s="1">
        <v>45.0</v>
      </c>
      <c r="B46" s="1" t="s">
        <v>137</v>
      </c>
      <c r="C46" s="1" t="s">
        <v>138</v>
      </c>
      <c r="D46" s="1">
        <v>497631.0</v>
      </c>
      <c r="E46" s="1">
        <v>114062.0</v>
      </c>
      <c r="F46" s="1" t="s">
        <v>139</v>
      </c>
      <c r="G46" s="1" t="str">
        <f>IFERROR(__xludf.DUMMYFUNCTION("GOOGLETRANSLATE(F46, ""de"", ""fa"")"),"مناظر ناهموار کارست با غارهای استالاکتیت و ویرانه‌های قلعه از قرن نوزدهم منطقه‌ای محبوب برای پیاده‌گردی و کوه‌نوردی بوده است.")</f>
        <v>مناظر ناهموار کارست با غارهای استالاکتیت و ویرانه‌های قلعه از قرن نوزدهم منطقه‌ای محبوب برای پیاده‌گردی و کوه‌نوردی بوده است.</v>
      </c>
    </row>
    <row r="47" ht="15.75" customHeight="1">
      <c r="A47" s="1">
        <v>46.0</v>
      </c>
      <c r="B47" s="1" t="s">
        <v>140</v>
      </c>
      <c r="C47" s="1" t="s">
        <v>141</v>
      </c>
      <c r="D47" s="1">
        <v>498917.0</v>
      </c>
      <c r="E47" s="1">
        <v>108852.0</v>
      </c>
      <c r="F47" s="1" t="s">
        <v>142</v>
      </c>
      <c r="G47" s="1" t="str">
        <f>IFERROR(__xludf.DUMMYFUNCTION("GOOGLETRANSLATE(F47, ""de"", ""fa"")"),"شهر قدیمی هفت تپه بامبرگ با کلیسای جامع رومی و تالار شهر در رگنیتز بزرگترین منظر شهری تاریخی ویران نشده در آلمان محسوب می شود.")</f>
        <v>شهر قدیمی هفت تپه بامبرگ با کلیسای جامع رومی و تالار شهر در رگنیتز بزرگترین منظر شهری تاریخی ویران نشده در آلمان محسوب می شود.</v>
      </c>
    </row>
    <row r="48" ht="15.75" customHeight="1">
      <c r="A48" s="1">
        <v>47.0</v>
      </c>
      <c r="B48" s="1" t="s">
        <v>143</v>
      </c>
      <c r="C48" s="1" t="s">
        <v>144</v>
      </c>
      <c r="D48" s="1">
        <v>494542.0</v>
      </c>
      <c r="E48" s="1">
        <v>110773.0</v>
      </c>
      <c r="F48" s="1" t="s">
        <v>145</v>
      </c>
      <c r="G48" s="1" t="str">
        <f>IFERROR(__xludf.DUMMYFUNCTION("GOOGLETRANSLATE(F48, ""de"", ""fa"")"),"نورنبرگ Christkindlesmarkt که از قرن شانزدهم مورد استفاده قرار گرفته است، هر ساله دو میلیون بازدید کننده را با شیرینی زنجفیلی و اسباب بازی های چوبی به خود جذب می کند.")</f>
        <v>نورنبرگ Christkindlesmarkt که از قرن شانزدهم مورد استفاده قرار گرفته است، هر ساله دو میلیون بازدید کننده را با شیرینی زنجفیلی و اسباب بازی های چوبی به خود جذب می کند.</v>
      </c>
    </row>
    <row r="49" ht="15.75" customHeight="1">
      <c r="A49" s="1">
        <v>48.0</v>
      </c>
      <c r="B49" s="1" t="s">
        <v>146</v>
      </c>
      <c r="C49" s="1" t="s">
        <v>147</v>
      </c>
      <c r="D49" s="1">
        <v>494528.0</v>
      </c>
      <c r="E49" s="1">
        <v>11078.0</v>
      </c>
      <c r="F49" s="1" t="s">
        <v>148</v>
      </c>
      <c r="G49" s="1" t="str">
        <f>IFERROR(__xludf.DUMMYFUNCTION("GOOGLETRANSLATE(F49, ""de"", ""fa"")"),"محاکمات نورنبرگ در اتاق 600 یادآور تحقیقات حقوقی جنایات نازی ها و تولد قانون کیفری بین المللی است.")</f>
        <v>محاکمات نورنبرگ در اتاق 600 یادآور تحقیقات حقوقی جنایات نازی ها و تولد قانون کیفری بین المللی است.</v>
      </c>
    </row>
    <row r="50" ht="15.75" customHeight="1">
      <c r="A50" s="1">
        <v>49.0</v>
      </c>
      <c r="B50" s="1" t="s">
        <v>149</v>
      </c>
      <c r="C50" s="1" t="s">
        <v>150</v>
      </c>
      <c r="D50" s="1">
        <v>48765.0</v>
      </c>
      <c r="E50" s="1">
        <v>114257.0</v>
      </c>
      <c r="F50" s="1" t="s">
        <v>151</v>
      </c>
      <c r="G50" s="1" t="str">
        <f>IFERROR(__xludf.DUMMYFUNCTION("GOOGLETRANSLATE(F50, ""de"", ""fa"")"),"در سال 1516، دوک‌های باواریا قانون خلوص را در اینگولشتات اعلام کردند: آبجو ممکن است فقط از آب، جو و رازک تشکیل شود - قدیمی‌ترین مقررات غذایی در جهان.")</f>
        <v>در سال 1516، دوک‌های باواریا قانون خلوص را در اینگولشتات اعلام کردند: آبجو ممکن است فقط از آب، جو و رازک تشکیل شود - قدیمی‌ترین مقررات غذایی در جهان.</v>
      </c>
    </row>
    <row r="51" ht="15.75" customHeight="1">
      <c r="A51" s="1">
        <v>50.0</v>
      </c>
      <c r="B51" s="1" t="s">
        <v>152</v>
      </c>
      <c r="C51" s="1" t="s">
        <v>153</v>
      </c>
      <c r="D51" s="1">
        <v>482188.0</v>
      </c>
      <c r="E51" s="1">
        <v>116247.0</v>
      </c>
      <c r="F51" s="1" t="s">
        <v>154</v>
      </c>
      <c r="G51" s="1" t="str">
        <f>IFERROR(__xludf.DUMMYFUNCTION("GOOGLETRANSLATE(F51, ""de"", ""fa"")"),"آلیانز آرنا، که در سال 2005 با پوسته بیرونی نیمه شفاف افتتاح شد، میزبان اف سی بایرن است و یکی از چشمگیرترین استادیوم های اروپا است.")</f>
        <v>آلیانز آرنا، که در سال 2005 با پوسته بیرونی نیمه شفاف افتتاح شد، میزبان اف سی بایرن است و یکی از چشمگیرترین استادیوم های اروپا است.</v>
      </c>
    </row>
    <row r="52" ht="15.75" customHeight="1">
      <c r="A52" s="1">
        <v>51.0</v>
      </c>
      <c r="B52" s="1" t="s">
        <v>155</v>
      </c>
      <c r="C52" s="1" t="s">
        <v>156</v>
      </c>
      <c r="D52" s="1">
        <v>48174.0</v>
      </c>
      <c r="E52" s="1">
        <v>11546.0</v>
      </c>
      <c r="F52" s="1" t="s">
        <v>157</v>
      </c>
      <c r="G52" s="1" t="str">
        <f>IFERROR(__xludf.DUMMYFUNCTION("GOOGLETRANSLATE(F52, ""de"", ""fa"")"),"بازی های 1972 استانداردهای جدیدی را با معماری سقف چادری خود تعیین کردند. حمله به تیم اسرائیلی خاطره منطقه مدرن را شکل داد.")</f>
        <v>بازی های 1972 استانداردهای جدیدی را با معماری سقف چادری خود تعیین کردند. حمله به تیم اسرائیلی خاطره منطقه مدرن را شکل داد.</v>
      </c>
    </row>
    <row r="53" ht="15.75" customHeight="1">
      <c r="A53" s="1">
        <v>52.0</v>
      </c>
      <c r="B53" s="1" t="s">
        <v>158</v>
      </c>
      <c r="C53" s="1" t="s">
        <v>159</v>
      </c>
      <c r="D53" s="1">
        <v>4815.0</v>
      </c>
      <c r="E53" s="1">
        <v>1158.0</v>
      </c>
      <c r="F53" s="1" t="s">
        <v>160</v>
      </c>
      <c r="G53" s="1" t="str">
        <f>IFERROR(__xludf.DUMMYFUNCTION("GOOGLETRANSLATE(F53, ""de"", ""fa"")"),"سوفی شول در سال 1943 اعلامیه های ""رز سفید"" را در LMU توزیع کرد. امروز، پلاک های یادبود ما را به یاد مقاومت شجاعانه آنها در برابر رژیم نازی می اندازد.")</f>
        <v>سوفی شول در سال 1943 اعلامیه های "رز سفید" را در LMU توزیع کرد. امروز، پلاک های یادبود ما را به یاد مقاومت شجاعانه آنها در برابر رژیم نازی می اندازد.</v>
      </c>
    </row>
    <row r="54" ht="15.75" customHeight="1">
      <c r="A54" s="1">
        <v>53.0</v>
      </c>
      <c r="B54" s="1" t="s">
        <v>161</v>
      </c>
      <c r="C54" s="1" t="s">
        <v>162</v>
      </c>
      <c r="D54" s="1">
        <v>481312.0</v>
      </c>
      <c r="E54" s="1">
        <v>115497.0</v>
      </c>
      <c r="F54" s="1" t="s">
        <v>163</v>
      </c>
      <c r="G54" s="1" t="str">
        <f>IFERROR(__xludf.DUMMYFUNCTION("GOOGLETRANSLATE(F54, ""de"", ""fa"")"),"مونیخ از سال 1810 جشنواره اکتبر را جشن می گیرد. چادرهای بزرگ آبجو، وسایل سواری و لباس های سنتی میلیون ها بازدیدکننده را هر ساله به خود جذب می کند.")</f>
        <v>مونیخ از سال 1810 جشنواره اکتبر را جشن می گیرد. چادرهای بزرگ آبجو، وسایل سواری و لباس های سنتی میلیون ها بازدیدکننده را هر ساله به خود جذب می کند.</v>
      </c>
    </row>
    <row r="55" ht="15.75" customHeight="1">
      <c r="A55" s="1">
        <v>54.0</v>
      </c>
      <c r="B55" s="1" t="s">
        <v>164</v>
      </c>
      <c r="C55" s="1" t="s">
        <v>165</v>
      </c>
      <c r="D55" s="1">
        <v>475576.0</v>
      </c>
      <c r="E55" s="1">
        <v>107498.0</v>
      </c>
      <c r="F55" s="1" t="s">
        <v>166</v>
      </c>
      <c r="G55" s="1" t="str">
        <f>IFERROR(__xludf.DUMMYFUNCTION("GOOGLETRANSLATE(F55, ""de"", ""fa"")"),"قلعه افسانه ای پادشاه لودویگ (از سال 1869) مظهر تاریخ گرایی رمانتیک در یک محیط آلپ است و به عنوان الگویی برای قلعه دیزنی عمل می کند.")</f>
        <v>قلعه افسانه ای پادشاه لودویگ (از سال 1869) مظهر تاریخ گرایی رمانتیک در یک محیط آلپ است و به عنوان الگویی برای قلعه دیزنی عمل می کند.</v>
      </c>
    </row>
    <row r="56" ht="15.75" customHeight="1">
      <c r="A56" s="1">
        <v>55.0</v>
      </c>
      <c r="B56" s="1" t="s">
        <v>167</v>
      </c>
      <c r="C56" s="1" t="s">
        <v>168</v>
      </c>
      <c r="D56" s="1">
        <v>476514.0</v>
      </c>
      <c r="E56" s="1">
        <v>9478.0</v>
      </c>
      <c r="F56" s="1" t="s">
        <v>169</v>
      </c>
      <c r="G56" s="1" t="str">
        <f>IFERROR(__xludf.DUMMYFUNCTION("GOOGLETRANSLATE(F56, ""de"", ""fa"")"),"اولین زپلین جهان در سال 1900 در اینجا به پرواز درآمد. این موزه نمایشگاه هایی از دوران کشتی های هوایی، از جمله بخشی از ""هیندنبورگ"" را نشان می دهد.")</f>
        <v>اولین زپلین جهان در سال 1900 در اینجا به پرواز درآمد. این موزه نمایشگاه هایی از دوران کشتی های هوایی، از جمله بخشی از "هیندنبورگ" را نشان می دهد.</v>
      </c>
    </row>
    <row r="57" ht="15.75" customHeight="1">
      <c r="A57" s="1">
        <v>56.0</v>
      </c>
      <c r="B57" s="1" t="s">
        <v>170</v>
      </c>
      <c r="C57" s="1" t="s">
        <v>171</v>
      </c>
      <c r="D57" s="1">
        <v>484011.0</v>
      </c>
      <c r="E57" s="1">
        <v>99876.0</v>
      </c>
      <c r="F57" s="1" t="s">
        <v>172</v>
      </c>
      <c r="G57" s="1" t="str">
        <f>IFERROR(__xludf.DUMMYFUNCTION("GOOGLETRANSLATE(F57, ""de"", ""fa"")"),"آلبرت اینشتین که در سال 1879 در اولم به دنیا آمد، فیزیک را با نسبیت و نظریه کوانتومی متحول کرد. فواره یادبود نابغه است.")</f>
        <v>آلبرت اینشتین که در سال 1879 در اولم به دنیا آمد، فیزیک را با نسبیت و نظریه کوانتومی متحول کرد. فواره یادبود نابغه است.</v>
      </c>
    </row>
    <row r="58" ht="15.75" customHeight="1">
      <c r="A58" s="1">
        <v>57.0</v>
      </c>
      <c r="B58" s="1" t="s">
        <v>173</v>
      </c>
      <c r="C58" s="1" t="s">
        <v>174</v>
      </c>
      <c r="D58" s="1">
        <v>487904.0</v>
      </c>
      <c r="E58" s="1">
        <v>92183.0</v>
      </c>
      <c r="F58" s="1" t="s">
        <v>175</v>
      </c>
      <c r="G58" s="1" t="str">
        <f>IFERROR(__xludf.DUMMYFUNCTION("GOOGLETRANSLATE(F58, ""de"", ""fa"")"),"Cannstatter Volksfest (از سال 1818) دومین فستیوال بزرگ آبجو و فولکلور آلمان پس از Oktoberfest است و هر ساله حدود چهار میلیون مهمان را به خود جذب می کند.")</f>
        <v>Cannstatter Volksfest (از سال 1818) دومین فستیوال بزرگ آبجو و فولکلور آلمان پس از Oktoberfest است و هر ساله حدود چهار میلیون مهمان را به خود جذب می کند.</v>
      </c>
    </row>
    <row r="59" ht="15.75" customHeight="1">
      <c r="A59" s="1">
        <v>58.0</v>
      </c>
      <c r="B59" s="1" t="s">
        <v>176</v>
      </c>
      <c r="C59" s="1" t="s">
        <v>176</v>
      </c>
      <c r="D59" s="1">
        <v>494106.0</v>
      </c>
      <c r="E59" s="1">
        <v>87151.0</v>
      </c>
      <c r="F59" s="1" t="s">
        <v>177</v>
      </c>
      <c r="G59" s="1" t="str">
        <f>IFERROR(__xludf.DUMMYFUNCTION("GOOGLETRANSLATE(F59, ""de"", ""fa"")"),"ویرانه های قلعه رمانتیک بالای نکار محل سکونت انتخاب کنندگان بود. نماهای رنسانس آن و بشکه بزرگ قبلاً از گوته الهام گرفته بودند.")</f>
        <v>ویرانه های قلعه رمانتیک بالای نکار محل سکونت انتخاب کنندگان بود. نماهای رنسانس آن و بشکه بزرگ قبلاً از گوته الهام گرفته بودند.</v>
      </c>
    </row>
    <row r="60" ht="15.75" customHeight="1">
      <c r="A60" s="1">
        <v>59.0</v>
      </c>
      <c r="B60" s="1" t="s">
        <v>178</v>
      </c>
      <c r="C60" s="1" t="s">
        <v>179</v>
      </c>
      <c r="D60" s="1">
        <v>494875.0</v>
      </c>
      <c r="E60" s="1">
        <v>8466.0</v>
      </c>
      <c r="F60" s="1" t="s">
        <v>180</v>
      </c>
      <c r="G60" s="1" t="str">
        <f>IFERROR(__xludf.DUMMYFUNCTION("GOOGLETRANSLATE(F60, ""de"", ""fa"")"),"کارل بنز اولین خودروی کاربردی را در مانهایم در سال 1885/1886 ساخت. اولین سفر برتا بنز از راه دور، مناسب بودن آن برای استفاده روزمره را ثابت کرد.")</f>
        <v>کارل بنز اولین خودروی کاربردی را در مانهایم در سال 1885/1886 ساخت. اولین سفر برتا بنز از راه دور، مناسب بودن آن برای استفاده روزمره را ثابت کرد.</v>
      </c>
    </row>
    <row r="61" ht="15.75" customHeight="1">
      <c r="A61" s="1">
        <v>60.0</v>
      </c>
      <c r="B61" s="1" t="s">
        <v>181</v>
      </c>
      <c r="C61" s="1" t="s">
        <v>182</v>
      </c>
      <c r="D61" s="1">
        <v>497913.0</v>
      </c>
      <c r="E61" s="1">
        <v>99534.0</v>
      </c>
      <c r="F61" s="1" t="s">
        <v>183</v>
      </c>
      <c r="G61" s="1" t="str">
        <f>IFERROR(__xludf.DUMMYFUNCTION("GOOGLETRANSLATE(F61, ""de"", ""fa"")"),"اقامتگاه وورزبورگ (1720-1744) با نقاشی‌های دیواری تیپولو و تالار آینه‌ها از آثار مهم باروک آلمان جنوبی در نظر گرفته می‌شود و یکی از میراث جهانی یونسکو است.")</f>
        <v>اقامتگاه وورزبورگ (1720-1744) با نقاشی‌های دیواری تیپولو و تالار آینه‌ها از آثار مهم باروک آلمان جنوبی در نظر گرفته می‌شود و یکی از میراث جهانی یونسکو است.</v>
      </c>
    </row>
    <row r="62" ht="15.75" customHeight="1">
      <c r="A62" s="1">
        <v>61.0</v>
      </c>
      <c r="B62" s="1" t="s">
        <v>184</v>
      </c>
      <c r="C62" s="1" t="s">
        <v>185</v>
      </c>
      <c r="D62" s="1">
        <v>481275.0</v>
      </c>
      <c r="E62" s="1">
        <v>82364.0</v>
      </c>
      <c r="F62" s="1" t="s">
        <v>186</v>
      </c>
      <c r="G62" s="1" t="str">
        <f>IFERROR(__xludf.DUMMYFUNCTION("GOOGLETRANSLATE(F62, ""de"", ""fa"")"),"کیک خامه ای شکلاتی و گیلاس با کیرش در جنگل سیاه ساخته شد. کافه Schäfer آنها را طبق دستور العمل تاریخی سرو می کند.")</f>
        <v>کیک خامه ای شکلاتی و گیلاس با کیرش در جنگل سیاه ساخته شد. کافه Schäfer آنها را طبق دستور العمل تاریخی سرو می کند.</v>
      </c>
    </row>
    <row r="63" ht="15.75" customHeight="1">
      <c r="A63" s="1">
        <v>62.0</v>
      </c>
      <c r="B63" s="1" t="s">
        <v>187</v>
      </c>
      <c r="C63" s="1" t="s">
        <v>188</v>
      </c>
      <c r="D63" s="1">
        <v>507753.0</v>
      </c>
      <c r="E63" s="1">
        <v>60839.0</v>
      </c>
      <c r="F63" s="1" t="s">
        <v>189</v>
      </c>
      <c r="G63" s="1" t="str">
        <f>IFERROR(__xludf.DUMMYFUNCTION("GOOGLETRANSLATE(F63, ""de"", ""fa"")"),"کلیسای کوچک پالاتینات کارل (قرن 8/9) و گروه کر گوتیک اولین میراث جهانی یونسکو در آلمان هستند. بیش از 30 پادشاه آلمانی در اینجا تاجگذاری کردند.")</f>
        <v>کلیسای کوچک پالاتینات کارل (قرن 8/9) و گروه کر گوتیک اولین میراث جهانی یونسکو در آلمان هستند. بیش از 30 پادشاه آلمانی در اینجا تاجگذاری کردند.</v>
      </c>
    </row>
    <row r="64" ht="15.75" customHeight="1">
      <c r="A64" s="1">
        <v>63.0</v>
      </c>
      <c r="B64" s="1" t="s">
        <v>190</v>
      </c>
      <c r="C64" s="1" t="s">
        <v>191</v>
      </c>
      <c r="D64" s="1">
        <v>50776.0</v>
      </c>
      <c r="E64" s="1">
        <v>60839.0</v>
      </c>
      <c r="F64" s="1" t="s">
        <v>192</v>
      </c>
      <c r="G64" s="1" t="str">
        <f>IFERROR(__xludf.DUMMYFUNCTION("GOOGLETRANSLATE(F64, ""de"", ""fa"")"),"گنجینه کلیسای جامع آخن با معبد شارلمانی و معبد مریم یکی از مهم ترین گنجینه های کلیسا در اروپا است و مکمل کلیسای جامع میراث جهانی است.")</f>
        <v>گنجینه کلیسای جامع آخن با معبد شارلمانی و معبد مریم یکی از مهم ترین گنجینه های کلیسا در اروپا است و مکمل کلیسای جامع میراث جهانی است.</v>
      </c>
    </row>
    <row r="65" ht="15.75" customHeight="1">
      <c r="A65" s="1">
        <v>64.0</v>
      </c>
      <c r="B65" s="1" t="s">
        <v>193</v>
      </c>
      <c r="C65" s="1" t="s">
        <v>194</v>
      </c>
      <c r="D65" s="1">
        <v>515281.0</v>
      </c>
      <c r="E65" s="1">
        <v>115487.0</v>
      </c>
      <c r="F65" s="1" t="s">
        <v>195</v>
      </c>
      <c r="G65" s="1" t="str">
        <f>IFERROR(__xludf.DUMMYFUNCTION("GOOGLETRANSLATE(F65, ""de"", ""fa"")"),"خانه های تولد و مرگ لوتر در Eisleben یک میراث جهانی یونسکو است و زندگی و تأثیر اصلاح طلب را مستند می کند.")</f>
        <v>خانه های تولد و مرگ لوتر در Eisleben یک میراث جهانی یونسکو است و زندگی و تأثیر اصلاح طلب را مستند می کند.</v>
      </c>
    </row>
    <row r="66" ht="15.75" customHeight="1">
      <c r="A66" s="1">
        <v>65.0</v>
      </c>
      <c r="B66" s="1" t="s">
        <v>196</v>
      </c>
      <c r="C66" s="1" t="s">
        <v>197</v>
      </c>
      <c r="D66" s="1">
        <v>518349.0</v>
      </c>
      <c r="E66" s="1">
        <v>122424.0</v>
      </c>
      <c r="F66" s="1" t="s">
        <v>198</v>
      </c>
      <c r="G66" s="1" t="str">
        <f>IFERROR(__xludf.DUMMYFUNCTION("GOOGLETRANSLATE(F66, ""de"", ""fa"")"),"خانه های استاد گروپیوس (1925/26) برای معلمان باهاوس مانند کاندینسکی، معماری کاربردی باهاوس را در حالت اولیه خود نشان می دهد.")</f>
        <v>خانه های استاد گروپیوس (1925/26) برای معلمان باهاوس مانند کاندینسکی، معماری کاربردی باهاوس را در حالت اولیه خود نشان می دهد.</v>
      </c>
    </row>
    <row r="67" ht="15.75" customHeight="1">
      <c r="A67" s="1">
        <v>66.0</v>
      </c>
      <c r="B67" s="1" t="s">
        <v>199</v>
      </c>
      <c r="C67" s="1" t="s">
        <v>200</v>
      </c>
      <c r="D67" s="1">
        <v>518367.0</v>
      </c>
      <c r="E67" s="1">
        <v>122428.0</v>
      </c>
      <c r="F67" s="1" t="s">
        <v>201</v>
      </c>
      <c r="G67" s="1" t="str">
        <f>IFERROR(__xludf.DUMMYFUNCTION("GOOGLETRANSLATE(F67, ""de"", ""fa"")"),"ساختمان باهاوس (1926) با نمای شیشه ای نشان دهنده تلفیقی از هنر، صنعت و صنعت است - نقطه عطفی از مدرنیته.")</f>
        <v>ساختمان باهاوس (1926) با نمای شیشه ای نشان دهنده تلفیقی از هنر، صنعت و صنعت است - نقطه عطفی از مدرنیته.</v>
      </c>
    </row>
    <row r="68" ht="15.75" customHeight="1">
      <c r="A68" s="1">
        <v>67.0</v>
      </c>
      <c r="B68" s="1" t="s">
        <v>202</v>
      </c>
      <c r="C68" s="1" t="s">
        <v>203</v>
      </c>
      <c r="D68" s="1">
        <v>518661.0</v>
      </c>
      <c r="E68" s="1">
        <v>126477.0</v>
      </c>
      <c r="F68" s="1" t="s">
        <v>204</v>
      </c>
      <c r="G68" s="1" t="str">
        <f>IFERROR(__xludf.DUMMYFUNCTION("GOOGLETRANSLATE(F68, ""de"", ""fa"")"),"95 تز لوتر از سال 1517 در کلیسای قلعه باعث اصلاحات شد و کلیسا و جامعه را دائماً تغییر داد.")</f>
        <v>95 تز لوتر از سال 1517 در کلیسای قلعه باعث اصلاحات شد و کلیسا و جامعه را دائماً تغییر داد.</v>
      </c>
    </row>
    <row r="69" ht="15.75" customHeight="1">
      <c r="A69" s="1">
        <v>68.0</v>
      </c>
      <c r="B69" s="1" t="s">
        <v>205</v>
      </c>
      <c r="C69" s="1" t="s">
        <v>206</v>
      </c>
      <c r="D69" s="1">
        <v>513393.0</v>
      </c>
      <c r="E69" s="1">
        <v>123747.0</v>
      </c>
      <c r="F69" s="1" t="s">
        <v>207</v>
      </c>
      <c r="G69" s="1" t="str">
        <f>IFERROR(__xludf.DUMMYFUNCTION("GOOGLETRANSLATE(F69, ""de"", ""fa"")"),"روزهای جاز لایپزیگ (از سال 1976) بزرگان بین المللی جاز را به مکان های تاریخی مانند موریتزباستی زیرزمینی می آورد.")</f>
        <v>روزهای جاز لایپزیگ (از سال 1976) بزرگان بین المللی جاز را به مکان های تاریخی مانند موریتزباستی زیرزمینی می آورد.</v>
      </c>
    </row>
    <row r="70" ht="15.75" customHeight="1">
      <c r="A70" s="1">
        <v>69.0</v>
      </c>
      <c r="B70" s="1" t="s">
        <v>208</v>
      </c>
      <c r="C70" s="1" t="s">
        <v>209</v>
      </c>
      <c r="D70" s="1">
        <v>513388.0</v>
      </c>
      <c r="E70" s="1">
        <v>123723.0</v>
      </c>
      <c r="F70" s="1" t="s">
        <v>210</v>
      </c>
      <c r="G70" s="1" t="str">
        <f>IFERROR(__xludf.DUMMYFUNCTION("GOOGLETRANSLATE(F70, ""de"", ""fa"")"),"باخ از سال 1723 به عنوان Thomaskantor در لایپزیگ کار می کرد. این موزه دست نوشته ها و سازهای آهنگساز باروک را نشان می دهد.")</f>
        <v>باخ از سال 1723 به عنوان Thomaskantor در لایپزیگ کار می کرد. این موزه دست نوشته ها و سازهای آهنگساز باروک را نشان می دهد.</v>
      </c>
    </row>
    <row r="71" ht="15.75" customHeight="1">
      <c r="A71" s="1">
        <v>70.0</v>
      </c>
      <c r="B71" s="1" t="s">
        <v>211</v>
      </c>
      <c r="C71" s="1" t="s">
        <v>212</v>
      </c>
      <c r="D71" s="1">
        <v>513128.0</v>
      </c>
      <c r="E71" s="1">
        <v>124134.0</v>
      </c>
      <c r="F71" s="1" t="s">
        <v>213</v>
      </c>
      <c r="G71" s="1" t="str">
        <f>IFERROR(__xludf.DUMMYFUNCTION("GOOGLETRANSLATE(F71, ""de"", ""fa"")"),"بنای یادبود نبرد ملل با ارتفاع 91 متر یادآور شکست ناپلئون در بزرگترین نبرد قبل از جنگ جهانی اول است.")</f>
        <v>بنای یادبود نبرد ملل با ارتفاع 91 متر یادآور شکست ناپلئون در بزرگترین نبرد قبل از جنگ جهانی اول است.</v>
      </c>
    </row>
    <row r="72" ht="15.75" customHeight="1">
      <c r="A72" s="1">
        <v>71.0</v>
      </c>
      <c r="B72" s="1" t="s">
        <v>214</v>
      </c>
      <c r="C72" s="1" t="s">
        <v>215</v>
      </c>
      <c r="D72" s="1">
        <v>511642.0</v>
      </c>
      <c r="E72" s="1">
        <v>134827.0</v>
      </c>
      <c r="F72" s="1" t="s">
        <v>216</v>
      </c>
      <c r="G72" s="1" t="str">
        <f>IFERROR(__xludf.DUMMYFUNCTION("GOOGLETRANSLATE(F72, ""de"", ""fa"")"),"اولین چینی سخت اروپایی در سال 1710 در میسن ساخته شد. این موزه شاهکارهایی با شمشیرهای ضربدری را نشان می دهد.")</f>
        <v>اولین چینی سخت اروپایی در سال 1710 در میسن ساخته شد. این موزه شاهکارهایی با شمشیرهای ضربدری را نشان می دهد.</v>
      </c>
    </row>
    <row r="73" ht="15.75" customHeight="1">
      <c r="A73" s="1">
        <v>72.0</v>
      </c>
      <c r="B73" s="1" t="s">
        <v>217</v>
      </c>
      <c r="C73" s="1" t="s">
        <v>218</v>
      </c>
      <c r="D73" s="1">
        <v>523948.0</v>
      </c>
      <c r="E73" s="1">
        <v>130644.0</v>
      </c>
      <c r="F73" s="1" t="s">
        <v>219</v>
      </c>
      <c r="G73" s="1" t="str">
        <f>IFERROR(__xludf.DUMMYFUNCTION("GOOGLETRANSLATE(F73, ""de"", ""fa"")"),"موزه فناوری لوکوموتیوها، کشتی ها و یک ""بمب افکن کشمشی"" را بر روی پشت بام ارائه می دهد - تاریخچه فن آوری عملی.")</f>
        <v>موزه فناوری لوکوموتیوها، کشتی ها و یک "بمب افکن کشمشی" را بر روی پشت بام ارائه می دهد - تاریخچه فن آوری عملی.</v>
      </c>
    </row>
    <row r="74" ht="15.75" customHeight="1">
      <c r="A74" s="1">
        <v>73.0</v>
      </c>
      <c r="B74" s="1" t="s">
        <v>220</v>
      </c>
      <c r="C74" s="1" t="s">
        <v>221</v>
      </c>
      <c r="D74" s="1">
        <v>523969.0</v>
      </c>
      <c r="E74" s="1">
        <v>130586.0</v>
      </c>
      <c r="F74" s="1" t="s">
        <v>222</v>
      </c>
      <c r="G74" s="1" t="str">
        <f>IFERROR(__xludf.DUMMYFUNCTION("GOOGLETRANSLATE(F74, ""de"", ""fa"")"),"فردریک کبیر از Sanssouci (1747) به عنوان یک اقامتگاه تابستانی روکوکو بر روی تراس های تاکستان ساخته شد. این پارک و قلعه ها جزو میراث جهانی یونسکو هستند.")</f>
        <v>فردریک کبیر از Sanssouci (1747) به عنوان یک اقامتگاه تابستانی روکوکو بر روی تراس های تاکستان ساخته شد. این پارک و قلعه ها جزو میراث جهانی یونسکو هستند.</v>
      </c>
    </row>
    <row r="75" ht="15.75" customHeight="1">
      <c r="A75" s="1">
        <v>74.0</v>
      </c>
      <c r="B75" s="1" t="s">
        <v>223</v>
      </c>
      <c r="C75" s="1" t="s">
        <v>224</v>
      </c>
      <c r="D75" s="1">
        <v>524039.0</v>
      </c>
      <c r="E75" s="1">
        <v>130682.0</v>
      </c>
      <c r="F75" s="1" t="s">
        <v>225</v>
      </c>
      <c r="G75" s="1" t="str">
        <f>IFERROR(__xludf.DUMMYFUNCTION("GOOGLETRANSLATE(F75, ""de"", ""fa"")"),"استودیو بابلزبرگ (از سال 1912) مهد فیلم آلمانی است. پارک فیلم بینش هایی در مورد ست ها، شیرین کاری ها و تکنیک های ترفند ارائه می دهد.")</f>
        <v>استودیو بابلزبرگ (از سال 1912) مهد فیلم آلمانی است. پارک فیلم بینش هایی در مورد ست ها، شیرین کاری ها و تکنیک های ترفند ارائه می دهد.</v>
      </c>
    </row>
    <row r="76" ht="15.75" customHeight="1">
      <c r="A76" s="1">
        <v>75.0</v>
      </c>
      <c r="B76" s="1" t="s">
        <v>226</v>
      </c>
      <c r="C76" s="1" t="s">
        <v>227</v>
      </c>
      <c r="D76" s="1">
        <v>524731.0</v>
      </c>
      <c r="E76" s="1">
        <v>13403.0</v>
      </c>
      <c r="F76" s="1" t="s">
        <v>228</v>
      </c>
      <c r="G76" s="1" t="str">
        <f>IFERROR(__xludf.DUMMYFUNCTION("GOOGLETRANSLATE(F76, ""de"", ""fa"")"),"در سال 1948/1949، بمب‌افکن‌های کشمشی بخش غربی محصور شده شهر را از طریق فرودگاه تمپلهوف - نماد همبستگی غرب - تامین کردند.")</f>
        <v>در سال 1948/1949، بمب‌افکن‌های کشمشی بخش غربی محصور شده شهر را از طریق فرودگاه تمپلهوف - نماد همبستگی غرب - تامین کردند.</v>
      </c>
    </row>
    <row r="77" ht="15.75" customHeight="1">
      <c r="A77" s="1">
        <v>76.0</v>
      </c>
      <c r="B77" s="1" t="s">
        <v>229</v>
      </c>
      <c r="C77" s="1" t="s">
        <v>230</v>
      </c>
      <c r="D77" s="1">
        <v>525076.0</v>
      </c>
      <c r="E77" s="1">
        <v>133904.0</v>
      </c>
      <c r="F77" s="1" t="s">
        <v>231</v>
      </c>
      <c r="G77" s="1" t="str">
        <f>IFERROR(__xludf.DUMMYFUNCTION("GOOGLETRANSLATE(F77, ""de"", ""fa"")"),"مشهورترین گذرگاه مرزی برلین صحنه درگیری تانک های انفجاری بین ایالات متحده آمریکا و اتحاد جماهیر شوروی در اکتبر 1961 بود.")</f>
        <v>مشهورترین گذرگاه مرزی برلین صحنه درگیری تانک های انفجاری بین ایالات متحده آمریکا و اتحاد جماهیر شوروی در اکتبر 1961 بود.</v>
      </c>
    </row>
    <row r="78" ht="15.75" customHeight="1">
      <c r="A78" s="1">
        <v>77.0</v>
      </c>
      <c r="B78" s="1" t="s">
        <v>232</v>
      </c>
      <c r="C78" s="1" t="s">
        <v>233</v>
      </c>
      <c r="D78" s="1">
        <v>525163.0</v>
      </c>
      <c r="E78" s="1">
        <v>133777.0</v>
      </c>
      <c r="F78" s="1" t="s">
        <v>234</v>
      </c>
      <c r="G78" s="1" t="str">
        <f>IFERROR(__xludf.DUMMYFUNCTION("GOOGLETRANSLATE(F78, ""de"", ""fa"")"),"دروازه کلاسیک (1791) تا سال 1989 بر روی دیوار ایستاده بود و پس از سقوط به نماد اتحاد آلمان تبدیل شد.")</f>
        <v>دروازه کلاسیک (1791) تا سال 1989 بر روی دیوار ایستاده بود و پس از سقوط به نماد اتحاد آلمان تبدیل شد.</v>
      </c>
    </row>
    <row r="79" ht="15.75" customHeight="1">
      <c r="A79" s="1">
        <v>78.0</v>
      </c>
      <c r="B79" s="1" t="s">
        <v>235</v>
      </c>
      <c r="C79" s="1" t="s">
        <v>236</v>
      </c>
      <c r="D79" s="1">
        <v>525114.0</v>
      </c>
      <c r="E79" s="1">
        <v>13439.0</v>
      </c>
      <c r="F79" s="1" t="s">
        <v>237</v>
      </c>
      <c r="G79" s="1" t="str">
        <f>IFERROR(__xludf.DUMMYFUNCTION("GOOGLETRANSLATE(F79, ""de"", ""fa"")"),"باشگاه Berghain در یک نیروگاه سابق به عنوان یک مکه تکنو در نظر گرفته می شود: سیاست درب سازش ناپذیر و صدای درجه یک موقعیت مذهبی ایجاد می کند.")</f>
        <v>باشگاه Berghain در یک نیروگاه سابق به عنوان یک مکه تکنو در نظر گرفته می شود: سیاست درب سازش ناپذیر و صدای درجه یک موقعیت مذهبی ایجاد می کند.</v>
      </c>
    </row>
    <row r="80" ht="15.75" customHeight="1">
      <c r="A80" s="1">
        <v>79.0</v>
      </c>
      <c r="B80" s="1" t="s">
        <v>238</v>
      </c>
      <c r="C80" s="1" t="s">
        <v>239</v>
      </c>
      <c r="D80" s="1">
        <v>525045.0</v>
      </c>
      <c r="E80" s="1">
        <v>134408.0</v>
      </c>
      <c r="F80" s="1" t="s">
        <v>240</v>
      </c>
      <c r="G80" s="1" t="str">
        <f>IFERROR(__xludf.DUMMYFUNCTION("GOOGLETRANSLATE(F80, ""de"", ""fa"")"),"بقایای دیوار 1.3 کیلومتری نقاشی شده بیش از 100 نقاشی دیواری را نشان می دهد که شادی را از انقلاب صلح آمیز سال 1989 بیان می کند.")</f>
        <v>بقایای دیوار 1.3 کیلومتری نقاشی شده بیش از 100 نقاشی دیواری را نشان می دهد که شادی را از انقلاب صلح آمیز سال 1989 بیان می کند.</v>
      </c>
    </row>
    <row r="81" ht="15.75" customHeight="1">
      <c r="A81" s="1">
        <v>80.0</v>
      </c>
      <c r="B81" s="1" t="s">
        <v>241</v>
      </c>
      <c r="C81" s="1" t="s">
        <v>242</v>
      </c>
      <c r="D81" s="1">
        <v>53125.0</v>
      </c>
      <c r="E81" s="1">
        <v>13093.0</v>
      </c>
      <c r="F81" s="1" t="s">
        <v>243</v>
      </c>
      <c r="G81" s="1" t="str">
        <f>IFERROR(__xludf.DUMMYFUNCTION("GOOGLETRANSLATE(F81, ""de"", ""fa"")"),"قلعه فورستنبرگ در یک پارک در شمال براندنبورگ و سرشار از دریاچه ها و جنگل ها قرار دارد و فرهنگ اشرافی را در یک محیط طبیعی منعکس می کند.")</f>
        <v>قلعه فورستنبرگ در یک پارک در شمال براندنبورگ و سرشار از دریاچه ها و جنگل ها قرار دارد و فرهنگ اشرافی را در یک محیط طبیعی منعکس می کند.</v>
      </c>
    </row>
    <row r="82" ht="15.75" customHeight="1">
      <c r="A82" s="1">
        <v>81.0</v>
      </c>
      <c r="B82" s="1" t="s">
        <v>244</v>
      </c>
      <c r="C82" s="1" t="s">
        <v>245</v>
      </c>
      <c r="D82" s="1">
        <v>530913.0</v>
      </c>
      <c r="E82" s="1">
        <v>129084.0</v>
      </c>
      <c r="F82" s="1" t="s">
        <v>246</v>
      </c>
      <c r="G82" s="1" t="str">
        <f>IFERROR(__xludf.DUMMYFUNCTION("GOOGLETRANSLATE(F82, ""de"", ""fa"")"),"قلعه راینسبرگ در Grienericksee که زمانی محل اقامت فردریک کبیر بود، دریاچه‌های بت‌های سرزمین روپینر را نشان می‌دهد.")</f>
        <v>قلعه راینسبرگ در Grienericksee که زمانی محل اقامت فردریک کبیر بود، دریاچه‌های بت‌های سرزمین روپینر را نشان می‌دهد.</v>
      </c>
    </row>
    <row r="83" ht="15.75" customHeight="1">
      <c r="A83" s="1">
        <v>82.0</v>
      </c>
      <c r="B83" s="1" t="s">
        <v>247</v>
      </c>
      <c r="C83" s="1" t="s">
        <v>248</v>
      </c>
      <c r="D83" s="1">
        <v>535211.0</v>
      </c>
      <c r="E83" s="1">
        <v>126801.0</v>
      </c>
      <c r="F83" s="1" t="s">
        <v>249</v>
      </c>
      <c r="G83" s="1" t="str">
        <f>IFERROR(__xludf.DUMMYFUNCTION("GOOGLETRANSLATE(F83, ""de"", ""fa"")"),"بزرگترین آکواریوم آب شیرین آلمان اطلاعاتی در مورد گیاهان و جانوران ناحیه دریاچه مکلنبورگ در موریتزئوم ارائه می دهد.")</f>
        <v>بزرگترین آکواریوم آب شیرین آلمان اطلاعاتی در مورد گیاهان و جانوران ناحیه دریاچه مکلنبورگ در موریتزئوم ارائه می دهد.</v>
      </c>
    </row>
    <row r="84" ht="15.75" customHeight="1">
      <c r="A84" s="1">
        <v>83.0</v>
      </c>
      <c r="B84" s="1" t="s">
        <v>250</v>
      </c>
      <c r="C84" s="1" t="s">
        <v>251</v>
      </c>
      <c r="D84" s="1">
        <v>540865.0</v>
      </c>
      <c r="E84" s="1">
        <v>121095.0</v>
      </c>
      <c r="F84" s="1" t="s">
        <v>252</v>
      </c>
      <c r="G84" s="1" t="str">
        <f>IFERROR(__xludf.DUMMYFUNCTION("GOOGLETRANSLATE(F84, ""de"", ""fa"")"),"Alter Strom متعلق به Warnemünde سنت دریانوردی شهر هانسیایی روستوک را با قایق‌های ماهیگیری و خانه‌های کاپیتان نشان می‌دهد.")</f>
        <v>Alter Strom متعلق به Warnemünde سنت دریانوردی شهر هانسیایی روستوک را با قایق‌های ماهیگیری و خانه‌های کاپیتان نشان می‌دهد.</v>
      </c>
    </row>
    <row r="85" ht="15.75" customHeight="1">
      <c r="A85" s="1">
        <v>84.0</v>
      </c>
      <c r="B85" s="1" t="s">
        <v>253</v>
      </c>
      <c r="C85" s="1" t="s">
        <v>254</v>
      </c>
      <c r="D85" s="1">
        <v>543996.0</v>
      </c>
      <c r="E85" s="1">
        <v>124539.0</v>
      </c>
      <c r="F85" s="1" t="s">
        <v>255</v>
      </c>
      <c r="G85" s="1" t="str">
        <f>IFERROR(__xludf.DUMMYFUNCTION("GOOGLETRANSLATE(F85, ""de"", ""fa"")"),"دهکده ماهیگیری سابق Ahrenshoop از سال 1890 به مستعمره هنرمندان تبدیل شد. سقف های کاهگلی و نور دریای بالتیک همچنان الهام بخش نقاشان است.")</f>
        <v>دهکده ماهیگیری سابق Ahrenshoop از سال 1890 به مستعمره هنرمندان تبدیل شد. سقف های کاهگلی و نور دریای بالتیک همچنان الهام بخش نقاشان است.</v>
      </c>
    </row>
    <row r="86" ht="15.75" customHeight="1">
      <c r="A86" s="1">
        <v>85.0</v>
      </c>
      <c r="B86" s="1" t="s">
        <v>256</v>
      </c>
      <c r="C86" s="1" t="s">
        <v>257</v>
      </c>
      <c r="D86" s="1">
        <v>543126.0</v>
      </c>
      <c r="E86" s="1">
        <v>130929.0</v>
      </c>
      <c r="F86" s="1" t="s">
        <v>258</v>
      </c>
      <c r="G86" s="1" t="str">
        <f>IFERROR(__xludf.DUMMYFUNCTION("GOOGLETRANSLATE(F86, ""de"", ""fa"")"),"شهر قدیمی گوتیک آجری Stralsund در سال 1234 حقوق شهر را دریافت کرد. به عنوان یک بندر هانسیاتیک، همراه با ویسمار در فهرست میراث جهانی یونسکو قرار دارد.")</f>
        <v>شهر قدیمی گوتیک آجری Stralsund در سال 1234 حقوق شهر را دریافت کرد. به عنوان یک بندر هانسیاتیک، همراه با ویسمار در فهرست میراث جهانی یونسکو قرار دارد.</v>
      </c>
    </row>
    <row r="87" ht="15.75" customHeight="1">
      <c r="A87" s="1">
        <v>86.0</v>
      </c>
      <c r="B87" s="1" t="s">
        <v>259</v>
      </c>
      <c r="C87" s="1" t="s">
        <v>260</v>
      </c>
      <c r="D87" s="1">
        <v>540924.0</v>
      </c>
      <c r="E87" s="1">
        <v>134022.0</v>
      </c>
      <c r="F87" s="1" t="s">
        <v>261</v>
      </c>
      <c r="G87" s="1" t="str">
        <f>IFERROR(__xludf.DUMMYFUNCTION("GOOGLETRANSLATE(F87, ""de"", ""fa"")"),"کلیسای جامع سنت نیکولای (قرن سیزدهم) بر شبح گریفسوالد تسلط دارد و مظهر ثروت گوتیک و هانسیاتیک آجری آلمان شمالی است.")</f>
        <v>کلیسای جامع سنت نیکولای (قرن سیزدهم) بر شبح گریفسوالد تسلط دارد و مظهر ثروت گوتیک و هانسیاتیک آجری آلمان شمالی است.</v>
      </c>
    </row>
    <row r="88" ht="15.75" customHeight="1">
      <c r="A88" s="1">
        <v>87.0</v>
      </c>
      <c r="B88" s="1" t="s">
        <v>262</v>
      </c>
      <c r="C88" s="1" t="s">
        <v>263</v>
      </c>
      <c r="D88" s="1">
        <v>545406.0</v>
      </c>
      <c r="E88" s="1">
        <v>135747.0</v>
      </c>
      <c r="F88" s="1" t="s">
        <v>264</v>
      </c>
      <c r="G88" s="1" t="str">
        <f>IFERROR(__xludf.DUMMYFUNCTION("GOOGLETRANSLATE(F88, ""de"", ""fa"")"),"صخره های گچی سفید و جنگل های باستانی راش پارک ملی جاسموند یک میراث جهانی یونسکو و الهام بخش نقاشان رمانتیک است.")</f>
        <v>صخره های گچی سفید و جنگل های باستانی راش پارک ملی جاسموند یک میراث جهانی یونسکو و الهام بخش نقاشان رمانتیک است.</v>
      </c>
    </row>
    <row r="89" ht="15.75" customHeight="1">
      <c r="A89" s="1">
        <v>88.0</v>
      </c>
      <c r="B89" s="1" t="s">
        <v>265</v>
      </c>
      <c r="C89" s="1" t="s">
        <v>266</v>
      </c>
      <c r="D89" s="1">
        <v>540536.0</v>
      </c>
      <c r="E89" s="1">
        <v>142743.0</v>
      </c>
      <c r="F89" s="1" t="s">
        <v>267</v>
      </c>
      <c r="G89" s="1" t="str">
        <f>IFERROR(__xludf.DUMMYFUNCTION("GOOGLETRANSLATE(F89, ""de"", ""fa"")"),"از سال 1900، اهلبک، هریگزدورف و بانسین بورژوازی برلین را با اسکله ها و معماری استراحتگاه خود به دریای بالتیک جذب کردند.")</f>
        <v>از سال 1900، اهلبک، هریگزدورف و بانسین بورژوازی برلین را با اسکله ها و معماری استراحتگاه خود به دریای بالتیک جذب کردند.</v>
      </c>
    </row>
    <row r="90" ht="15.75" customHeight="1">
      <c r="A90" s="1">
        <v>89.0</v>
      </c>
      <c r="B90" s="1" t="s">
        <v>268</v>
      </c>
      <c r="C90" s="1" t="s">
        <v>269</v>
      </c>
      <c r="D90" s="1">
        <v>538923.0</v>
      </c>
      <c r="E90" s="1">
        <v>114628.0</v>
      </c>
      <c r="F90" s="1" t="s">
        <v>270</v>
      </c>
      <c r="G90" s="1" t="str">
        <f>IFERROR(__xludf.DUMMYFUNCTION("GOOGLETRANSLATE(F90, ""de"", ""fa"")"),"خانه های شیروانی، هنرهای آبی و کلیساهای آجری گواهی بر گذشته هانسی ویسمار است و شهر قدیمی را به میراث فرهنگی جهانی تبدیل کرده است.")</f>
        <v>خانه های شیروانی، هنرهای آبی و کلیساهای آجری گواهی بر گذشته هانسی ویسمار است و شهر قدیمی را به میراث فرهنگی جهانی تبدیل کرده است.</v>
      </c>
    </row>
    <row r="91" ht="15.75" customHeight="1">
      <c r="A91" s="1">
        <v>90.0</v>
      </c>
      <c r="B91" s="1" t="s">
        <v>271</v>
      </c>
      <c r="C91" s="1" t="s">
        <v>271</v>
      </c>
      <c r="D91" s="1">
        <v>536294.0</v>
      </c>
      <c r="E91" s="1">
        <v>114154.0</v>
      </c>
      <c r="F91" s="1" t="s">
        <v>272</v>
      </c>
      <c r="G91" s="1" t="str">
        <f>IFERROR(__xludf.DUMMYFUNCTION("GOOGLETRANSLATE(F91, ""de"", ""fa"")"),"قلعه جزیره رمانتیک با برج ها و گلدسته طلایی محل پارلمان ایالت مکلنبورگ-پومرانی غربی و یک نقش افسانه ای است.")</f>
        <v>قلعه جزیره رمانتیک با برج ها و گلدسته طلایی محل پارلمان ایالت مکلنبورگ-پومرانی غربی و یک نقش افسانه ای است.</v>
      </c>
    </row>
    <row r="92" ht="15.75" customHeight="1">
      <c r="A92" s="1">
        <v>91.0</v>
      </c>
      <c r="B92" s="1" t="s">
        <v>273</v>
      </c>
      <c r="C92" s="1" t="s">
        <v>274</v>
      </c>
      <c r="D92" s="1">
        <v>538683.0</v>
      </c>
      <c r="E92" s="1">
        <v>106873.0</v>
      </c>
      <c r="F92" s="1" t="s">
        <v>275</v>
      </c>
      <c r="G92" s="1" t="str">
        <f>IFERROR(__xludf.DUMMYFUNCTION("GOOGLETRANSLATE(F92, ""de"", ""fa"")"),"هولستنتور گوتیک متاخر (1464-1478) با برج های دوقلو نقطه عطف لوبک است و یادآور دوران شکوفایی اتحادیه هانسی است.")</f>
        <v>هولستنتور گوتیک متاخر (1464-1478) با برج های دوقلو نقطه عطف لوبک است و یادآور دوران شکوفایی اتحادیه هانسی است.</v>
      </c>
    </row>
    <row r="93" ht="15.75" customHeight="1">
      <c r="A93" s="1">
        <v>92.0</v>
      </c>
      <c r="B93" s="1" t="s">
        <v>276</v>
      </c>
      <c r="C93" s="1" t="s">
        <v>277</v>
      </c>
      <c r="D93" s="1">
        <v>535496.0</v>
      </c>
      <c r="E93" s="1">
        <v>99882.0</v>
      </c>
      <c r="F93" s="1" t="s">
        <v>278</v>
      </c>
      <c r="G93" s="1" t="str">
        <f>IFERROR(__xludf.DUMMYFUNCTION("GOOGLETRANSLATE(F93, ""de"", ""fa"")"),"میشل باروک با برجی 132 متری برای ملوانان و ساکنان هامبورگ نقطه عطفی است که هویت آنها را ایجاد می کند.")</f>
        <v>میشل باروک با برجی 132 متری برای ملوانان و ساکنان هامبورگ نقطه عطفی است که هویت آنها را ایجاد می کند.</v>
      </c>
    </row>
    <row r="94" ht="15.75" customHeight="1">
      <c r="A94" s="1">
        <v>93.0</v>
      </c>
      <c r="B94" s="1" t="s">
        <v>279</v>
      </c>
      <c r="C94" s="1" t="s">
        <v>280</v>
      </c>
      <c r="D94" s="1">
        <v>535411.0</v>
      </c>
      <c r="E94" s="1">
        <v>99847.0</v>
      </c>
      <c r="F94" s="1" t="s">
        <v>281</v>
      </c>
      <c r="G94" s="1" t="str">
        <f>IFERROR(__xludf.DUMMYFUNCTION("GOOGLETRANSLATE(F94, ""de"", ""fa"")"),"این سالن کنسرت که در سال 2017 افتتاح شد، ترکیبی از ساخت‌وساز مدرن شیشه‌ای در انبار تاریخی اسکله است و استانداردهای آکوستیک را تعیین می‌کند.")</f>
        <v>این سالن کنسرت که در سال 2017 افتتاح شد، ترکیبی از ساخت‌وساز مدرن شیشه‌ای در انبار تاریخی اسکله است و استانداردهای آکوستیک را تعیین می‌کند.</v>
      </c>
    </row>
    <row r="95" ht="15.75" customHeight="1">
      <c r="A95" s="1">
        <v>94.0</v>
      </c>
      <c r="B95" s="1" t="s">
        <v>282</v>
      </c>
      <c r="C95" s="1" t="s">
        <v>283</v>
      </c>
      <c r="D95" s="1">
        <v>535462.0</v>
      </c>
      <c r="E95" s="1">
        <v>99667.0</v>
      </c>
      <c r="F95" s="1" t="s">
        <v>284</v>
      </c>
      <c r="G95" s="1" t="str">
        <f>IFERROR(__xludf.DUMMYFUNCTION("GOOGLETRANSLATE(F95, ""de"", ""fa"")"),"بزرگترین جشنواره بندر اروپا از سال 1189 حمل و نقل هامبورگ را با رژه های ورودی و خروجی از کشتی های بادبانی گرفته تا کشتی های کروز جشن می گیرد.")</f>
        <v>بزرگترین جشنواره بندر اروپا از سال 1189 حمل و نقل هامبورگ را با رژه های ورودی و خروجی از کشتی های بادبانی گرفته تا کشتی های کروز جشن می گیرد.</v>
      </c>
    </row>
    <row r="96" ht="15.75" customHeight="1">
      <c r="A96" s="1">
        <v>95.0</v>
      </c>
      <c r="B96" s="1" t="s">
        <v>285</v>
      </c>
      <c r="C96" s="1" t="s">
        <v>286</v>
      </c>
      <c r="D96" s="1">
        <v>535503.0</v>
      </c>
      <c r="E96" s="1">
        <v>99668.0</v>
      </c>
      <c r="F96" s="1" t="s">
        <v>287</v>
      </c>
      <c r="G96" s="1" t="str">
        <f>IFERROR(__xludf.DUMMYFUNCTION("GOOGLETRANSLATE(F96, ""de"", ""fa"")"),"ریپربان سنت پائولی یک منطقه تفریحی و چراغ قرمز در جهان است که گروه بیتلز در دهه 1960 در آن به موفقیت دست یافتند.")</f>
        <v>ریپربان سنت پائولی یک منطقه تفریحی و چراغ قرمز در جهان است که گروه بیتلز در دهه 1960 در آن به موفقیت دست یافتند.</v>
      </c>
    </row>
    <row r="97" ht="15.75" customHeight="1">
      <c r="A97" s="1">
        <v>96.0</v>
      </c>
      <c r="B97" s="1" t="s">
        <v>288</v>
      </c>
      <c r="C97" s="1" t="s">
        <v>289</v>
      </c>
      <c r="D97" s="1">
        <v>543215.0</v>
      </c>
      <c r="E97" s="1">
        <v>10131.0</v>
      </c>
      <c r="F97" s="1" t="s">
        <v>290</v>
      </c>
      <c r="G97" s="1" t="str">
        <f>IFERROR(__xludf.DUMMYFUNCTION("GOOGLETRANSLATE(F97, ""de"", ""fa"")"),"THW Kiel، چند بار قهرمان آلمان و لیگ قهرمانان اروپا، جو هندبال کلاس جهانی را در ورزشگاه Wunderino Arena تضمین می کند.")</f>
        <v>THW Kiel، چند بار قهرمان آلمان و لیگ قهرمانان اروپا، جو هندبال کلاس جهانی را در ورزشگاه Wunderino Arena تضمین می کند.</v>
      </c>
    </row>
    <row r="98" ht="15.75" customHeight="1">
      <c r="A98" s="1">
        <v>97.0</v>
      </c>
      <c r="B98" s="1" t="s">
        <v>291</v>
      </c>
      <c r="C98" s="1" t="s">
        <v>292</v>
      </c>
      <c r="D98" s="1">
        <v>543233.0</v>
      </c>
      <c r="E98" s="1">
        <v>10139.0</v>
      </c>
      <c r="F98" s="1" t="s">
        <v>293</v>
      </c>
      <c r="G98" s="1" t="str">
        <f>IFERROR(__xludf.DUMMYFUNCTION("GOOGLETRANSLATE(F98, ""de"", ""fa"")"),"از سال 1882، هفته کیل بزرگترین رویداد قایقرانی در جهان بوده است. رگاتا و جشنواره دریایی به مدت یک هفته به آبدره ها جان می بخشد.")</f>
        <v>از سال 1882، هفته کیل بزرگترین رویداد قایقرانی در جهان بوده است. رگاتا و جشنواره دریایی به مدت یک هفته به آبدره ها جان می بخشد.</v>
      </c>
    </row>
    <row r="99" ht="15.75" customHeight="1">
      <c r="A99" s="1">
        <v>98.0</v>
      </c>
      <c r="B99" s="1" t="s">
        <v>294</v>
      </c>
      <c r="C99" s="1" t="s">
        <v>295</v>
      </c>
      <c r="D99" s="1">
        <v>543433.0</v>
      </c>
      <c r="E99" s="1">
        <v>101247.0</v>
      </c>
      <c r="F99" s="1" t="s">
        <v>296</v>
      </c>
      <c r="G99" s="1" t="str">
        <f>IFERROR(__xludf.DUMMYFUNCTION("GOOGLETRANSLATE(F99, ""de"", ""fa"")"),"ماکس پلانک (1947-1858) فیزیکدان متولد کیل، فیزیک مدرن را با نظریه کوانتومی خود پایه گذاری کرد.")</f>
        <v>ماکس پلانک (1947-1858) فیزیکدان متولد کیل، فیزیک مدرن را با نظریه کوانتومی خود پایه گذاری کرد.</v>
      </c>
    </row>
    <row r="100" ht="15.75" customHeight="1">
      <c r="A100" s="1">
        <v>99.0</v>
      </c>
      <c r="B100" s="1" t="s">
        <v>297</v>
      </c>
      <c r="C100" s="1" t="s">
        <v>298</v>
      </c>
      <c r="D100" s="1">
        <v>549063.0</v>
      </c>
      <c r="E100" s="1">
        <v>83028.0</v>
      </c>
      <c r="F100" s="1" t="s">
        <v>299</v>
      </c>
      <c r="G100" s="1" t="str">
        <f>IFERROR(__xludf.DUMMYFUNCTION("GOOGLETRANSLATE(F100, ""de"", ""fa"")"),"سیلت ترکیبی از سنت اسپا، سواحل شنی بی پایان و استعداد افراد مشهور است. صندلی های ساحلی و دهکده های کاهگلی مشخصه معروف ترین جزیره آلمان در دریای شمال است.")</f>
        <v>سیلت ترکیبی از سنت اسپا، سواحل شنی بی پایان و استعداد افراد مشهور است. صندلی های ساحلی و دهکده های کاهگلی مشخصه معروف ترین جزیره آلمان در دریای شمال است.</v>
      </c>
    </row>
    <row r="101" ht="15.75" customHeight="1">
      <c r="A101" s="1">
        <v>100.0</v>
      </c>
      <c r="B101" s="1" t="s">
        <v>300</v>
      </c>
      <c r="C101" s="1" t="s">
        <v>301</v>
      </c>
      <c r="D101" s="1">
        <v>521317.0</v>
      </c>
      <c r="E101" s="1">
        <v>116394.0</v>
      </c>
      <c r="F101" s="1" t="s">
        <v>302</v>
      </c>
      <c r="G101" s="1" t="str">
        <f>IFERROR(__xludf.DUMMYFUNCTION("GOOGLETRANSLATE(F101, ""de"", ""fa"")"),"موزه هنر در صومعه بانوی ما معماری رومی را با هنر معاصر بین المللی - نمادی از ماگدبورگ مدرن - ترکیب می کند.")</f>
        <v>موزه هنر در صومعه بانوی ما معماری رومی را با هنر معاصر بین المللی - نمادی از ماگدبورگ مدرن - ترکیب می کند.</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27.43"/>
    <col customWidth="1" min="3" max="3" width="38.0"/>
    <col customWidth="1" min="4" max="4" width="10.57"/>
    <col customWidth="1" min="5" max="5" width="12.14"/>
    <col customWidth="1" min="6" max="6" width="81.14"/>
    <col customWidth="1" min="7" max="26" width="10.71"/>
  </cols>
  <sheetData>
    <row r="1">
      <c r="A1" s="1" t="s">
        <v>0</v>
      </c>
      <c r="B1" s="1" t="s">
        <v>1</v>
      </c>
      <c r="C1" s="1" t="s">
        <v>2</v>
      </c>
      <c r="D1" s="1" t="s">
        <v>3</v>
      </c>
      <c r="E1" s="1" t="s">
        <v>4</v>
      </c>
      <c r="F1" s="1" t="s">
        <v>303</v>
      </c>
    </row>
    <row r="2">
      <c r="A2" s="1">
        <v>1.0</v>
      </c>
      <c r="B2" s="1" t="s">
        <v>6</v>
      </c>
      <c r="C2" s="1" t="s">
        <v>304</v>
      </c>
      <c r="D2" s="1">
        <v>501096.0</v>
      </c>
      <c r="E2" s="1">
        <v>86724.0</v>
      </c>
      <c r="F2" s="1" t="s">
        <v>305</v>
      </c>
    </row>
    <row r="3">
      <c r="A3" s="1">
        <v>2.0</v>
      </c>
      <c r="B3" s="1" t="s">
        <v>9</v>
      </c>
      <c r="C3" s="1" t="s">
        <v>306</v>
      </c>
      <c r="D3" s="1">
        <v>501106.0</v>
      </c>
      <c r="E3" s="1">
        <v>86821.0</v>
      </c>
      <c r="F3" s="1" t="s">
        <v>307</v>
      </c>
    </row>
    <row r="4">
      <c r="A4" s="1">
        <v>3.0</v>
      </c>
      <c r="B4" s="1" t="s">
        <v>12</v>
      </c>
      <c r="C4" s="1" t="s">
        <v>308</v>
      </c>
      <c r="D4" s="1">
        <v>500826.0</v>
      </c>
      <c r="E4" s="1">
        <v>82435.0</v>
      </c>
      <c r="F4" s="1" t="s">
        <v>309</v>
      </c>
    </row>
    <row r="5">
      <c r="A5" s="1">
        <v>4.0</v>
      </c>
      <c r="B5" s="1" t="s">
        <v>15</v>
      </c>
      <c r="C5" s="1" t="s">
        <v>310</v>
      </c>
      <c r="D5" s="1">
        <v>499983.0</v>
      </c>
      <c r="E5" s="1">
        <v>82711.0</v>
      </c>
      <c r="F5" s="1" t="s">
        <v>311</v>
      </c>
    </row>
    <row r="6">
      <c r="A6" s="1">
        <v>5.0</v>
      </c>
      <c r="B6" s="1" t="s">
        <v>18</v>
      </c>
      <c r="C6" s="1" t="s">
        <v>312</v>
      </c>
      <c r="D6" s="1">
        <v>499992.0</v>
      </c>
      <c r="E6" s="1">
        <v>79433.0</v>
      </c>
      <c r="F6" s="1" t="s">
        <v>313</v>
      </c>
    </row>
    <row r="7">
      <c r="A7" s="1">
        <v>6.0</v>
      </c>
      <c r="B7" s="1" t="s">
        <v>21</v>
      </c>
      <c r="C7" s="1" t="s">
        <v>314</v>
      </c>
      <c r="D7" s="1">
        <v>49804.0</v>
      </c>
      <c r="E7" s="1">
        <v>7967.0</v>
      </c>
      <c r="F7" s="1" t="s">
        <v>315</v>
      </c>
    </row>
    <row r="8">
      <c r="A8" s="1">
        <v>7.0</v>
      </c>
      <c r="B8" s="1" t="s">
        <v>24</v>
      </c>
      <c r="C8" s="1" t="s">
        <v>316</v>
      </c>
      <c r="D8" s="1">
        <v>501389.0</v>
      </c>
      <c r="E8" s="1">
        <v>77089.0</v>
      </c>
      <c r="F8" s="1" t="s">
        <v>26</v>
      </c>
    </row>
    <row r="9">
      <c r="A9" s="1">
        <v>8.0</v>
      </c>
      <c r="B9" s="1" t="s">
        <v>27</v>
      </c>
      <c r="C9" s="1" t="s">
        <v>317</v>
      </c>
      <c r="D9" s="1">
        <v>501172.0</v>
      </c>
      <c r="E9" s="1">
        <v>76071.0</v>
      </c>
      <c r="F9" s="1" t="s">
        <v>318</v>
      </c>
    </row>
    <row r="10">
      <c r="A10" s="1">
        <v>9.0</v>
      </c>
      <c r="B10" s="1" t="s">
        <v>30</v>
      </c>
      <c r="C10" s="1" t="s">
        <v>319</v>
      </c>
      <c r="D10" s="1">
        <v>503569.0</v>
      </c>
      <c r="E10" s="1">
        <v>75881.0</v>
      </c>
      <c r="F10" s="1" t="s">
        <v>320</v>
      </c>
    </row>
    <row r="11">
      <c r="A11" s="1">
        <v>10.0</v>
      </c>
      <c r="B11" s="1" t="s">
        <v>33</v>
      </c>
      <c r="C11" s="1" t="s">
        <v>321</v>
      </c>
      <c r="D11" s="1">
        <v>503341.0</v>
      </c>
      <c r="E11" s="1">
        <v>69476.0</v>
      </c>
      <c r="F11" s="1" t="s">
        <v>322</v>
      </c>
    </row>
    <row r="12">
      <c r="A12" s="1">
        <v>11.0</v>
      </c>
      <c r="B12" s="1" t="s">
        <v>36</v>
      </c>
      <c r="C12" s="1" t="s">
        <v>323</v>
      </c>
      <c r="D12" s="1">
        <v>507368.0</v>
      </c>
      <c r="E12" s="1">
        <v>7101.0</v>
      </c>
      <c r="F12" s="1" t="s">
        <v>324</v>
      </c>
    </row>
    <row r="13">
      <c r="A13" s="1">
        <v>12.0</v>
      </c>
      <c r="B13" s="1" t="s">
        <v>325</v>
      </c>
      <c r="C13" s="1" t="s">
        <v>326</v>
      </c>
      <c r="D13" s="1">
        <v>509403.0</v>
      </c>
      <c r="E13" s="1">
        <v>6957.0</v>
      </c>
      <c r="F13" s="1" t="s">
        <v>327</v>
      </c>
    </row>
    <row r="14">
      <c r="A14" s="1">
        <v>13.0</v>
      </c>
      <c r="B14" s="1" t="s">
        <v>42</v>
      </c>
      <c r="C14" s="1" t="s">
        <v>328</v>
      </c>
      <c r="D14" s="1">
        <v>509413.0</v>
      </c>
      <c r="E14" s="1">
        <v>69583.0</v>
      </c>
      <c r="F14" s="1" t="s">
        <v>329</v>
      </c>
    </row>
    <row r="15">
      <c r="A15" s="1">
        <v>14.0</v>
      </c>
      <c r="B15" s="1" t="s">
        <v>45</v>
      </c>
      <c r="C15" s="1" t="s">
        <v>330</v>
      </c>
      <c r="D15" s="1">
        <v>512275.0</v>
      </c>
      <c r="E15" s="1">
        <v>6937.0</v>
      </c>
      <c r="F15" s="1" t="s">
        <v>331</v>
      </c>
    </row>
    <row r="16">
      <c r="A16" s="1">
        <v>15.0</v>
      </c>
      <c r="B16" s="1" t="s">
        <v>48</v>
      </c>
      <c r="C16" s="1" t="s">
        <v>332</v>
      </c>
      <c r="D16" s="1">
        <v>512277.0</v>
      </c>
      <c r="E16" s="1">
        <v>67735.0</v>
      </c>
      <c r="F16" s="1" t="s">
        <v>333</v>
      </c>
    </row>
    <row r="17">
      <c r="A17" s="1">
        <v>16.0</v>
      </c>
      <c r="B17" s="1" t="s">
        <v>51</v>
      </c>
      <c r="C17" s="1" t="s">
        <v>334</v>
      </c>
      <c r="D17" s="1">
        <v>514344.0</v>
      </c>
      <c r="E17" s="1">
        <v>67573.0</v>
      </c>
      <c r="F17" s="1" t="s">
        <v>335</v>
      </c>
    </row>
    <row r="18">
      <c r="A18" s="1">
        <v>17.0</v>
      </c>
      <c r="B18" s="1" t="s">
        <v>54</v>
      </c>
      <c r="C18" s="1" t="s">
        <v>336</v>
      </c>
      <c r="D18" s="1">
        <v>514839.0</v>
      </c>
      <c r="E18" s="1">
        <v>70226.0</v>
      </c>
      <c r="F18" s="1" t="s">
        <v>56</v>
      </c>
    </row>
    <row r="19">
      <c r="A19" s="1">
        <v>18.0</v>
      </c>
      <c r="B19" s="1" t="s">
        <v>57</v>
      </c>
      <c r="C19" s="1" t="s">
        <v>337</v>
      </c>
      <c r="D19" s="1">
        <v>5149.0</v>
      </c>
      <c r="E19" s="1">
        <v>70375.0</v>
      </c>
      <c r="F19" s="1" t="s">
        <v>338</v>
      </c>
    </row>
    <row r="20">
      <c r="A20" s="1">
        <v>19.0</v>
      </c>
      <c r="B20" s="1" t="s">
        <v>339</v>
      </c>
      <c r="C20" s="1" t="s">
        <v>340</v>
      </c>
      <c r="D20" s="1">
        <v>514925.0</v>
      </c>
      <c r="E20" s="1">
        <v>74517.0</v>
      </c>
      <c r="F20" s="1" t="s">
        <v>341</v>
      </c>
    </row>
    <row r="21" ht="15.75" customHeight="1">
      <c r="A21" s="1">
        <v>20.0</v>
      </c>
      <c r="B21" s="1" t="s">
        <v>342</v>
      </c>
      <c r="C21" s="1" t="s">
        <v>343</v>
      </c>
      <c r="D21" s="1">
        <v>519628.0</v>
      </c>
      <c r="E21" s="1">
        <v>76254.0</v>
      </c>
      <c r="F21" s="1" t="s">
        <v>344</v>
      </c>
    </row>
    <row r="22" ht="15.75" customHeight="1">
      <c r="A22" s="1">
        <v>21.0</v>
      </c>
      <c r="B22" s="1" t="s">
        <v>66</v>
      </c>
      <c r="C22" s="1" t="s">
        <v>345</v>
      </c>
      <c r="D22" s="1">
        <v>520302.0</v>
      </c>
      <c r="E22" s="1">
        <v>85325.0</v>
      </c>
      <c r="F22" s="1" t="s">
        <v>346</v>
      </c>
    </row>
    <row r="23" ht="15.75" customHeight="1">
      <c r="A23" s="1">
        <v>22.0</v>
      </c>
      <c r="B23" s="1" t="s">
        <v>69</v>
      </c>
      <c r="C23" s="1" t="s">
        <v>347</v>
      </c>
      <c r="D23" s="1">
        <v>523759.0</v>
      </c>
      <c r="E23" s="1">
        <v>9732.0</v>
      </c>
      <c r="F23" s="1" t="s">
        <v>348</v>
      </c>
    </row>
    <row r="24" ht="15.75" customHeight="1">
      <c r="A24" s="1">
        <v>23.0</v>
      </c>
      <c r="B24" s="1" t="s">
        <v>72</v>
      </c>
      <c r="C24" s="1" t="s">
        <v>349</v>
      </c>
      <c r="D24" s="1">
        <v>523759.0</v>
      </c>
      <c r="E24" s="1">
        <v>9732.0</v>
      </c>
      <c r="F24" s="1" t="s">
        <v>350</v>
      </c>
    </row>
    <row r="25" ht="15.75" customHeight="1">
      <c r="A25" s="1">
        <v>24.0</v>
      </c>
      <c r="B25" s="1" t="s">
        <v>75</v>
      </c>
      <c r="C25" s="1" t="s">
        <v>351</v>
      </c>
      <c r="D25" s="1">
        <v>523728.0</v>
      </c>
      <c r="E25" s="1">
        <v>97441.0</v>
      </c>
      <c r="F25" s="1" t="s">
        <v>77</v>
      </c>
    </row>
    <row r="26" ht="15.75" customHeight="1">
      <c r="A26" s="1">
        <v>25.0</v>
      </c>
      <c r="B26" s="1" t="s">
        <v>78</v>
      </c>
      <c r="C26" s="1" t="s">
        <v>352</v>
      </c>
      <c r="D26" s="1">
        <v>523909.0</v>
      </c>
      <c r="E26" s="1">
        <v>97335.0</v>
      </c>
      <c r="F26" s="1" t="s">
        <v>353</v>
      </c>
    </row>
    <row r="27" ht="15.75" customHeight="1">
      <c r="A27" s="1">
        <v>26.0</v>
      </c>
      <c r="B27" s="1" t="s">
        <v>354</v>
      </c>
      <c r="C27" s="1" t="s">
        <v>354</v>
      </c>
      <c r="D27" s="1">
        <v>522689.0</v>
      </c>
      <c r="E27" s="1">
        <v>105268.0</v>
      </c>
      <c r="F27" s="1" t="s">
        <v>355</v>
      </c>
    </row>
    <row r="28" ht="15.75" customHeight="1">
      <c r="A28" s="1">
        <v>27.0</v>
      </c>
      <c r="B28" s="1" t="s">
        <v>83</v>
      </c>
      <c r="C28" s="1" t="s">
        <v>356</v>
      </c>
      <c r="D28" s="1">
        <v>524224.0</v>
      </c>
      <c r="E28" s="1">
        <v>107864.0</v>
      </c>
      <c r="F28" s="1" t="s">
        <v>357</v>
      </c>
    </row>
    <row r="29" ht="15.75" customHeight="1">
      <c r="A29" s="1">
        <v>28.0</v>
      </c>
      <c r="B29" s="1" t="s">
        <v>358</v>
      </c>
      <c r="C29" s="1" t="s">
        <v>359</v>
      </c>
      <c r="D29" s="1">
        <v>524225.0</v>
      </c>
      <c r="E29" s="1">
        <v>107864.0</v>
      </c>
      <c r="F29" s="1" t="s">
        <v>360</v>
      </c>
    </row>
    <row r="30" ht="15.75" customHeight="1">
      <c r="A30" s="1">
        <v>29.0</v>
      </c>
      <c r="B30" s="1" t="s">
        <v>89</v>
      </c>
      <c r="C30" s="1" t="s">
        <v>361</v>
      </c>
      <c r="D30" s="1">
        <v>519045.0</v>
      </c>
      <c r="E30" s="1">
        <v>104297.0</v>
      </c>
      <c r="F30" s="1" t="s">
        <v>91</v>
      </c>
    </row>
    <row r="31" ht="15.75" customHeight="1">
      <c r="A31" s="1">
        <v>30.0</v>
      </c>
      <c r="B31" s="1" t="s">
        <v>362</v>
      </c>
      <c r="C31" s="1" t="s">
        <v>363</v>
      </c>
      <c r="D31" s="1">
        <v>515403.0</v>
      </c>
      <c r="E31" s="1">
        <v>99357.0</v>
      </c>
      <c r="F31" s="1" t="s">
        <v>364</v>
      </c>
    </row>
    <row r="32" ht="15.75" customHeight="1">
      <c r="A32" s="1">
        <v>31.0</v>
      </c>
      <c r="B32" s="1" t="s">
        <v>365</v>
      </c>
      <c r="C32" s="1" t="s">
        <v>366</v>
      </c>
      <c r="D32" s="1">
        <v>513155.0</v>
      </c>
      <c r="E32" s="1">
        <v>94962.0</v>
      </c>
      <c r="F32" s="1" t="s">
        <v>367</v>
      </c>
    </row>
    <row r="33" ht="15.75" customHeight="1">
      <c r="A33" s="1">
        <v>32.0</v>
      </c>
      <c r="B33" s="1" t="s">
        <v>98</v>
      </c>
      <c r="C33" s="1" t="s">
        <v>368</v>
      </c>
      <c r="D33" s="1">
        <v>513118.0</v>
      </c>
      <c r="E33" s="1">
        <v>9497.0</v>
      </c>
      <c r="F33" s="1" t="s">
        <v>369</v>
      </c>
    </row>
    <row r="34" ht="15.75" customHeight="1">
      <c r="A34" s="1">
        <v>33.0</v>
      </c>
      <c r="B34" s="1" t="s">
        <v>101</v>
      </c>
      <c r="C34" s="1" t="s">
        <v>370</v>
      </c>
      <c r="D34" s="1">
        <v>513116.0</v>
      </c>
      <c r="E34" s="1">
        <v>94797.0</v>
      </c>
      <c r="F34" s="1" t="s">
        <v>371</v>
      </c>
    </row>
    <row r="35" ht="15.75" customHeight="1">
      <c r="A35" s="1">
        <v>34.0</v>
      </c>
      <c r="B35" s="1" t="s">
        <v>104</v>
      </c>
      <c r="C35" s="1" t="s">
        <v>372</v>
      </c>
      <c r="D35" s="1">
        <v>509711.0</v>
      </c>
      <c r="E35" s="1">
        <v>103277.0</v>
      </c>
      <c r="F35" s="1" t="s">
        <v>373</v>
      </c>
    </row>
    <row r="36" ht="15.75" customHeight="1">
      <c r="A36" s="1">
        <v>35.0</v>
      </c>
      <c r="B36" s="1" t="s">
        <v>107</v>
      </c>
      <c r="C36" s="1" t="s">
        <v>374</v>
      </c>
      <c r="D36" s="1">
        <v>509848.0</v>
      </c>
      <c r="E36" s="1">
        <v>110299.0</v>
      </c>
      <c r="F36" s="1" t="s">
        <v>375</v>
      </c>
    </row>
    <row r="37" ht="15.75" customHeight="1">
      <c r="A37" s="1">
        <v>36.0</v>
      </c>
      <c r="B37" s="1" t="s">
        <v>110</v>
      </c>
      <c r="C37" s="1" t="s">
        <v>376</v>
      </c>
      <c r="D37" s="1">
        <v>509795.0</v>
      </c>
      <c r="E37" s="1">
        <v>11329.0</v>
      </c>
      <c r="F37" s="1" t="s">
        <v>377</v>
      </c>
    </row>
    <row r="38" ht="15.75" customHeight="1">
      <c r="A38" s="1">
        <v>37.0</v>
      </c>
      <c r="B38" s="1" t="s">
        <v>113</v>
      </c>
      <c r="C38" s="1" t="s">
        <v>378</v>
      </c>
      <c r="D38" s="1">
        <v>509793.0</v>
      </c>
      <c r="E38" s="1">
        <v>113292.0</v>
      </c>
      <c r="F38" s="1" t="s">
        <v>379</v>
      </c>
    </row>
    <row r="39" ht="15.75" customHeight="1">
      <c r="A39" s="1">
        <v>38.0</v>
      </c>
      <c r="B39" s="1" t="s">
        <v>116</v>
      </c>
      <c r="C39" s="1" t="s">
        <v>380</v>
      </c>
      <c r="D39" s="1">
        <v>505451.0</v>
      </c>
      <c r="E39" s="1">
        <v>112147.0</v>
      </c>
      <c r="F39" s="1" t="s">
        <v>381</v>
      </c>
    </row>
    <row r="40" ht="15.75" customHeight="1">
      <c r="A40" s="1">
        <v>39.0</v>
      </c>
      <c r="B40" s="1" t="s">
        <v>119</v>
      </c>
      <c r="C40" s="1" t="s">
        <v>382</v>
      </c>
      <c r="D40" s="1">
        <v>505477.0</v>
      </c>
      <c r="E40" s="1">
        <v>111681.0</v>
      </c>
      <c r="F40" s="1" t="s">
        <v>383</v>
      </c>
    </row>
    <row r="41" ht="15.75" customHeight="1">
      <c r="A41" s="1">
        <v>40.0</v>
      </c>
      <c r="B41" s="1" t="s">
        <v>122</v>
      </c>
      <c r="C41" s="1" t="s">
        <v>384</v>
      </c>
      <c r="D41" s="1">
        <v>502599.0</v>
      </c>
      <c r="E41" s="1">
        <v>109644.0</v>
      </c>
      <c r="F41" s="1" t="s">
        <v>385</v>
      </c>
    </row>
    <row r="42" ht="15.75" customHeight="1">
      <c r="A42" s="1">
        <v>41.0</v>
      </c>
      <c r="B42" s="1" t="s">
        <v>125</v>
      </c>
      <c r="C42" s="1" t="s">
        <v>386</v>
      </c>
      <c r="D42" s="1">
        <v>501011.0</v>
      </c>
      <c r="E42" s="1">
        <v>11438.0</v>
      </c>
      <c r="F42" s="1" t="s">
        <v>387</v>
      </c>
    </row>
    <row r="43" ht="15.75" customHeight="1">
      <c r="A43" s="1">
        <v>42.0</v>
      </c>
      <c r="B43" s="1" t="s">
        <v>128</v>
      </c>
      <c r="C43" s="1" t="s">
        <v>388</v>
      </c>
      <c r="D43" s="1">
        <v>501011.0</v>
      </c>
      <c r="E43" s="1">
        <v>11438.0</v>
      </c>
      <c r="F43" s="1" t="s">
        <v>389</v>
      </c>
    </row>
    <row r="44" ht="15.75" customHeight="1">
      <c r="A44" s="1">
        <v>43.0</v>
      </c>
      <c r="B44" s="1" t="s">
        <v>131</v>
      </c>
      <c r="C44" s="1" t="s">
        <v>390</v>
      </c>
      <c r="D44" s="1">
        <v>499487.0</v>
      </c>
      <c r="E44" s="1">
        <v>11576.0</v>
      </c>
      <c r="F44" s="1" t="s">
        <v>391</v>
      </c>
    </row>
    <row r="45" ht="15.75" customHeight="1">
      <c r="A45" s="1">
        <v>44.0</v>
      </c>
      <c r="B45" s="1" t="s">
        <v>134</v>
      </c>
      <c r="C45" s="1" t="s">
        <v>392</v>
      </c>
      <c r="D45" s="1">
        <v>499451.0</v>
      </c>
      <c r="E45" s="1">
        <v>115908.0</v>
      </c>
      <c r="F45" s="1" t="s">
        <v>393</v>
      </c>
    </row>
    <row r="46" ht="15.75" customHeight="1">
      <c r="A46" s="1">
        <v>45.0</v>
      </c>
      <c r="B46" s="1" t="s">
        <v>394</v>
      </c>
      <c r="C46" s="1" t="s">
        <v>395</v>
      </c>
      <c r="D46" s="1">
        <v>497631.0</v>
      </c>
      <c r="E46" s="1">
        <v>114062.0</v>
      </c>
      <c r="F46" s="1" t="s">
        <v>396</v>
      </c>
    </row>
    <row r="47" ht="15.75" customHeight="1">
      <c r="A47" s="1">
        <v>46.0</v>
      </c>
      <c r="B47" s="1" t="s">
        <v>140</v>
      </c>
      <c r="C47" s="1" t="s">
        <v>397</v>
      </c>
      <c r="D47" s="1">
        <v>498917.0</v>
      </c>
      <c r="E47" s="1">
        <v>108852.0</v>
      </c>
      <c r="F47" s="1" t="s">
        <v>398</v>
      </c>
    </row>
    <row r="48" ht="15.75" customHeight="1">
      <c r="A48" s="1">
        <v>47.0</v>
      </c>
      <c r="B48" s="1" t="s">
        <v>143</v>
      </c>
      <c r="C48" s="1" t="s">
        <v>399</v>
      </c>
      <c r="D48" s="1">
        <v>494542.0</v>
      </c>
      <c r="E48" s="1">
        <v>110773.0</v>
      </c>
      <c r="F48" s="1" t="s">
        <v>400</v>
      </c>
    </row>
    <row r="49" ht="15.75" customHeight="1">
      <c r="A49" s="1">
        <v>48.0</v>
      </c>
      <c r="B49" s="1" t="s">
        <v>146</v>
      </c>
      <c r="C49" s="1" t="s">
        <v>401</v>
      </c>
      <c r="D49" s="1">
        <v>494528.0</v>
      </c>
      <c r="E49" s="1">
        <v>11078.0</v>
      </c>
      <c r="F49" s="1" t="s">
        <v>402</v>
      </c>
    </row>
    <row r="50" ht="15.75" customHeight="1">
      <c r="A50" s="1">
        <v>49.0</v>
      </c>
      <c r="B50" s="1" t="s">
        <v>149</v>
      </c>
      <c r="C50" s="1" t="s">
        <v>403</v>
      </c>
      <c r="D50" s="1">
        <v>48765.0</v>
      </c>
      <c r="E50" s="1">
        <v>114257.0</v>
      </c>
      <c r="F50" s="1" t="s">
        <v>404</v>
      </c>
    </row>
    <row r="51" ht="15.75" customHeight="1">
      <c r="A51" s="1">
        <v>50.0</v>
      </c>
      <c r="B51" s="1" t="s">
        <v>405</v>
      </c>
      <c r="C51" s="1" t="s">
        <v>406</v>
      </c>
      <c r="D51" s="1">
        <v>482188.0</v>
      </c>
      <c r="E51" s="1">
        <v>116247.0</v>
      </c>
      <c r="F51" s="1" t="s">
        <v>407</v>
      </c>
    </row>
    <row r="52" ht="15.75" customHeight="1">
      <c r="A52" s="1">
        <v>51.0</v>
      </c>
      <c r="B52" s="1" t="s">
        <v>155</v>
      </c>
      <c r="C52" s="1" t="s">
        <v>408</v>
      </c>
      <c r="D52" s="1">
        <v>48174.0</v>
      </c>
      <c r="E52" s="1">
        <v>11546.0</v>
      </c>
      <c r="F52" s="1" t="s">
        <v>409</v>
      </c>
    </row>
    <row r="53" ht="15.75" customHeight="1">
      <c r="A53" s="1">
        <v>52.0</v>
      </c>
      <c r="B53" s="1" t="s">
        <v>158</v>
      </c>
      <c r="C53" s="1" t="s">
        <v>410</v>
      </c>
      <c r="D53" s="1">
        <v>4815.0</v>
      </c>
      <c r="E53" s="1">
        <v>1158.0</v>
      </c>
      <c r="F53" s="1" t="s">
        <v>411</v>
      </c>
    </row>
    <row r="54" ht="15.75" customHeight="1">
      <c r="A54" s="1">
        <v>53.0</v>
      </c>
      <c r="B54" s="1" t="s">
        <v>161</v>
      </c>
      <c r="C54" s="1" t="s">
        <v>412</v>
      </c>
      <c r="D54" s="1">
        <v>481312.0</v>
      </c>
      <c r="E54" s="1">
        <v>115497.0</v>
      </c>
      <c r="F54" s="1" t="s">
        <v>413</v>
      </c>
    </row>
    <row r="55" ht="15.75" customHeight="1">
      <c r="A55" s="1">
        <v>54.0</v>
      </c>
      <c r="B55" s="1" t="s">
        <v>164</v>
      </c>
      <c r="C55" s="1" t="s">
        <v>414</v>
      </c>
      <c r="D55" s="1">
        <v>475576.0</v>
      </c>
      <c r="E55" s="1">
        <v>107498.0</v>
      </c>
      <c r="F55" s="1" t="s">
        <v>415</v>
      </c>
    </row>
    <row r="56" ht="15.75" customHeight="1">
      <c r="A56" s="1">
        <v>55.0</v>
      </c>
      <c r="B56" s="1" t="s">
        <v>167</v>
      </c>
      <c r="C56" s="1" t="s">
        <v>416</v>
      </c>
      <c r="D56" s="1">
        <v>476514.0</v>
      </c>
      <c r="E56" s="1">
        <v>9478.0</v>
      </c>
      <c r="F56" s="1" t="s">
        <v>417</v>
      </c>
    </row>
    <row r="57" ht="15.75" customHeight="1">
      <c r="A57" s="1">
        <v>56.0</v>
      </c>
      <c r="B57" s="1" t="s">
        <v>170</v>
      </c>
      <c r="C57" s="1" t="s">
        <v>418</v>
      </c>
      <c r="D57" s="1">
        <v>484011.0</v>
      </c>
      <c r="E57" s="1">
        <v>99876.0</v>
      </c>
      <c r="F57" s="1" t="s">
        <v>419</v>
      </c>
    </row>
    <row r="58" ht="15.75" customHeight="1">
      <c r="A58" s="1">
        <v>57.0</v>
      </c>
      <c r="B58" s="1" t="s">
        <v>173</v>
      </c>
      <c r="C58" s="1" t="s">
        <v>420</v>
      </c>
      <c r="D58" s="1">
        <v>487904.0</v>
      </c>
      <c r="E58" s="1">
        <v>92183.0</v>
      </c>
      <c r="F58" s="1" t="s">
        <v>421</v>
      </c>
    </row>
    <row r="59" ht="15.75" customHeight="1">
      <c r="A59" s="1">
        <v>58.0</v>
      </c>
      <c r="B59" s="1" t="s">
        <v>422</v>
      </c>
      <c r="C59" s="1" t="s">
        <v>422</v>
      </c>
      <c r="D59" s="1">
        <v>494106.0</v>
      </c>
      <c r="E59" s="1">
        <v>87151.0</v>
      </c>
      <c r="F59" s="1" t="s">
        <v>423</v>
      </c>
    </row>
    <row r="60" ht="15.75" customHeight="1">
      <c r="A60" s="1">
        <v>59.0</v>
      </c>
      <c r="B60" s="1" t="s">
        <v>178</v>
      </c>
      <c r="C60" s="1" t="s">
        <v>424</v>
      </c>
      <c r="D60" s="1">
        <v>494875.0</v>
      </c>
      <c r="E60" s="1">
        <v>8466.0</v>
      </c>
      <c r="F60" s="1" t="s">
        <v>425</v>
      </c>
    </row>
    <row r="61" ht="15.75" customHeight="1">
      <c r="A61" s="1">
        <v>60.0</v>
      </c>
      <c r="B61" s="1" t="s">
        <v>181</v>
      </c>
      <c r="C61" s="1" t="s">
        <v>426</v>
      </c>
      <c r="D61" s="1">
        <v>497913.0</v>
      </c>
      <c r="E61" s="1">
        <v>99534.0</v>
      </c>
      <c r="F61" s="1" t="s">
        <v>427</v>
      </c>
    </row>
    <row r="62" ht="15.75" customHeight="1">
      <c r="A62" s="1">
        <v>61.0</v>
      </c>
      <c r="B62" s="1" t="s">
        <v>428</v>
      </c>
      <c r="C62" s="1" t="s">
        <v>429</v>
      </c>
      <c r="D62" s="1">
        <v>481275.0</v>
      </c>
      <c r="E62" s="1">
        <v>82364.0</v>
      </c>
      <c r="F62" s="1" t="s">
        <v>430</v>
      </c>
    </row>
    <row r="63" ht="15.75" customHeight="1">
      <c r="A63" s="1">
        <v>62.0</v>
      </c>
      <c r="B63" s="1" t="s">
        <v>187</v>
      </c>
      <c r="C63" s="1" t="s">
        <v>431</v>
      </c>
      <c r="D63" s="1">
        <v>507753.0</v>
      </c>
      <c r="E63" s="1">
        <v>60839.0</v>
      </c>
      <c r="F63" s="1" t="s">
        <v>432</v>
      </c>
    </row>
    <row r="64" ht="15.75" customHeight="1">
      <c r="A64" s="1">
        <v>63.0</v>
      </c>
      <c r="B64" s="1" t="s">
        <v>190</v>
      </c>
      <c r="C64" s="1" t="s">
        <v>433</v>
      </c>
      <c r="D64" s="1">
        <v>50776.0</v>
      </c>
      <c r="E64" s="1">
        <v>60839.0</v>
      </c>
      <c r="F64" s="1" t="s">
        <v>434</v>
      </c>
    </row>
    <row r="65" ht="15.75" customHeight="1">
      <c r="A65" s="1">
        <v>64.0</v>
      </c>
      <c r="B65" s="1" t="s">
        <v>193</v>
      </c>
      <c r="C65" s="1" t="s">
        <v>435</v>
      </c>
      <c r="D65" s="1">
        <v>515281.0</v>
      </c>
      <c r="E65" s="1">
        <v>115487.0</v>
      </c>
      <c r="F65" s="1" t="s">
        <v>436</v>
      </c>
    </row>
    <row r="66" ht="15.75" customHeight="1">
      <c r="A66" s="1">
        <v>65.0</v>
      </c>
      <c r="B66" s="1" t="s">
        <v>437</v>
      </c>
      <c r="C66" s="1" t="s">
        <v>438</v>
      </c>
      <c r="D66" s="1">
        <v>518349.0</v>
      </c>
      <c r="E66" s="1">
        <v>122424.0</v>
      </c>
      <c r="F66" s="1" t="s">
        <v>439</v>
      </c>
    </row>
    <row r="67" ht="15.75" customHeight="1">
      <c r="A67" s="1">
        <v>66.0</v>
      </c>
      <c r="B67" s="1" t="s">
        <v>440</v>
      </c>
      <c r="C67" s="1" t="s">
        <v>441</v>
      </c>
      <c r="D67" s="1">
        <v>518367.0</v>
      </c>
      <c r="E67" s="1">
        <v>122428.0</v>
      </c>
      <c r="F67" s="1" t="s">
        <v>442</v>
      </c>
    </row>
    <row r="68" ht="15.75" customHeight="1">
      <c r="A68" s="1">
        <v>67.0</v>
      </c>
      <c r="B68" s="1" t="s">
        <v>202</v>
      </c>
      <c r="C68" s="1" t="s">
        <v>443</v>
      </c>
      <c r="D68" s="1">
        <v>518661.0</v>
      </c>
      <c r="E68" s="1">
        <v>126477.0</v>
      </c>
      <c r="F68" s="1" t="s">
        <v>444</v>
      </c>
    </row>
    <row r="69" ht="15.75" customHeight="1">
      <c r="A69" s="1">
        <v>68.0</v>
      </c>
      <c r="B69" s="1" t="s">
        <v>205</v>
      </c>
      <c r="C69" s="1" t="s">
        <v>445</v>
      </c>
      <c r="D69" s="1">
        <v>513393.0</v>
      </c>
      <c r="E69" s="1">
        <v>123747.0</v>
      </c>
      <c r="F69" s="1" t="s">
        <v>446</v>
      </c>
    </row>
    <row r="70" ht="15.75" customHeight="1">
      <c r="A70" s="1">
        <v>69.0</v>
      </c>
      <c r="B70" s="1" t="s">
        <v>208</v>
      </c>
      <c r="C70" s="1" t="s">
        <v>447</v>
      </c>
      <c r="D70" s="1">
        <v>513388.0</v>
      </c>
      <c r="E70" s="1">
        <v>123723.0</v>
      </c>
      <c r="F70" s="1" t="s">
        <v>210</v>
      </c>
    </row>
    <row r="71" ht="15.75" customHeight="1">
      <c r="A71" s="1">
        <v>70.0</v>
      </c>
      <c r="B71" s="1" t="s">
        <v>448</v>
      </c>
      <c r="C71" s="1" t="s">
        <v>449</v>
      </c>
      <c r="D71" s="1">
        <v>513128.0</v>
      </c>
      <c r="E71" s="1">
        <v>124134.0</v>
      </c>
      <c r="F71" s="1" t="s">
        <v>450</v>
      </c>
    </row>
    <row r="72" ht="15.75" customHeight="1">
      <c r="A72" s="1">
        <v>71.0</v>
      </c>
      <c r="B72" s="1" t="s">
        <v>451</v>
      </c>
      <c r="C72" s="1" t="s">
        <v>452</v>
      </c>
      <c r="D72" s="1">
        <v>511642.0</v>
      </c>
      <c r="E72" s="1">
        <v>134827.0</v>
      </c>
      <c r="F72" s="1" t="s">
        <v>453</v>
      </c>
    </row>
    <row r="73" ht="15.75" customHeight="1">
      <c r="A73" s="1">
        <v>72.0</v>
      </c>
      <c r="B73" s="1" t="s">
        <v>217</v>
      </c>
      <c r="C73" s="1" t="s">
        <v>454</v>
      </c>
      <c r="D73" s="1">
        <v>523948.0</v>
      </c>
      <c r="E73" s="1">
        <v>130644.0</v>
      </c>
      <c r="F73" s="1" t="s">
        <v>455</v>
      </c>
    </row>
    <row r="74" ht="15.75" customHeight="1">
      <c r="A74" s="1">
        <v>73.0</v>
      </c>
      <c r="B74" s="1" t="s">
        <v>456</v>
      </c>
      <c r="C74" s="1" t="s">
        <v>457</v>
      </c>
      <c r="D74" s="1">
        <v>523969.0</v>
      </c>
      <c r="E74" s="1">
        <v>130586.0</v>
      </c>
      <c r="F74" s="1" t="s">
        <v>458</v>
      </c>
    </row>
    <row r="75" ht="15.75" customHeight="1">
      <c r="A75" s="1">
        <v>74.0</v>
      </c>
      <c r="B75" s="1" t="s">
        <v>223</v>
      </c>
      <c r="C75" s="1" t="s">
        <v>459</v>
      </c>
      <c r="D75" s="1">
        <v>524039.0</v>
      </c>
      <c r="E75" s="1">
        <v>130682.0</v>
      </c>
      <c r="F75" s="1" t="s">
        <v>460</v>
      </c>
    </row>
    <row r="76" ht="15.75" customHeight="1">
      <c r="A76" s="1">
        <v>75.0</v>
      </c>
      <c r="B76" s="1" t="s">
        <v>461</v>
      </c>
      <c r="C76" s="1" t="s">
        <v>462</v>
      </c>
      <c r="D76" s="1">
        <v>524731.0</v>
      </c>
      <c r="E76" s="1">
        <v>13403.0</v>
      </c>
      <c r="F76" s="1" t="s">
        <v>463</v>
      </c>
    </row>
    <row r="77" ht="15.75" customHeight="1">
      <c r="A77" s="1">
        <v>76.0</v>
      </c>
      <c r="B77" s="1" t="s">
        <v>229</v>
      </c>
      <c r="C77" s="1" t="s">
        <v>464</v>
      </c>
      <c r="D77" s="1">
        <v>525076.0</v>
      </c>
      <c r="E77" s="1">
        <v>133904.0</v>
      </c>
      <c r="F77" s="1" t="s">
        <v>465</v>
      </c>
    </row>
    <row r="78" ht="15.75" customHeight="1">
      <c r="A78" s="1">
        <v>77.0</v>
      </c>
      <c r="B78" s="1" t="s">
        <v>232</v>
      </c>
      <c r="C78" s="1" t="s">
        <v>466</v>
      </c>
      <c r="D78" s="1">
        <v>525163.0</v>
      </c>
      <c r="E78" s="1">
        <v>133777.0</v>
      </c>
      <c r="F78" s="1" t="s">
        <v>234</v>
      </c>
    </row>
    <row r="79" ht="15.75" customHeight="1">
      <c r="A79" s="1">
        <v>78.0</v>
      </c>
      <c r="B79" s="1" t="s">
        <v>235</v>
      </c>
      <c r="C79" s="1" t="s">
        <v>467</v>
      </c>
      <c r="D79" s="1">
        <v>525114.0</v>
      </c>
      <c r="E79" s="1">
        <v>13439.0</v>
      </c>
      <c r="F79" s="1" t="s">
        <v>468</v>
      </c>
    </row>
    <row r="80" ht="15.75" customHeight="1">
      <c r="A80" s="1">
        <v>79.0</v>
      </c>
      <c r="B80" s="1" t="s">
        <v>238</v>
      </c>
      <c r="C80" s="1" t="s">
        <v>469</v>
      </c>
      <c r="D80" s="1">
        <v>525045.0</v>
      </c>
      <c r="E80" s="1">
        <v>134408.0</v>
      </c>
      <c r="F80" s="1" t="s">
        <v>470</v>
      </c>
    </row>
    <row r="81" ht="15.75" customHeight="1">
      <c r="A81" s="1">
        <v>80.0</v>
      </c>
      <c r="B81" s="1" t="s">
        <v>241</v>
      </c>
      <c r="C81" s="1" t="s">
        <v>471</v>
      </c>
      <c r="D81" s="1">
        <v>53125.0</v>
      </c>
      <c r="E81" s="1">
        <v>13093.0</v>
      </c>
      <c r="F81" s="1" t="s">
        <v>472</v>
      </c>
    </row>
    <row r="82" ht="15.75" customHeight="1">
      <c r="A82" s="1">
        <v>81.0</v>
      </c>
      <c r="B82" s="1" t="s">
        <v>244</v>
      </c>
      <c r="C82" s="1" t="s">
        <v>473</v>
      </c>
      <c r="D82" s="1">
        <v>530913.0</v>
      </c>
      <c r="E82" s="1">
        <v>129084.0</v>
      </c>
      <c r="F82" s="1" t="s">
        <v>474</v>
      </c>
    </row>
    <row r="83" ht="15.75" customHeight="1">
      <c r="A83" s="1">
        <v>82.0</v>
      </c>
      <c r="B83" s="1" t="s">
        <v>475</v>
      </c>
      <c r="C83" s="1" t="s">
        <v>476</v>
      </c>
      <c r="D83" s="1">
        <v>535211.0</v>
      </c>
      <c r="E83" s="1">
        <v>126801.0</v>
      </c>
      <c r="F83" s="1" t="s">
        <v>477</v>
      </c>
    </row>
    <row r="84" ht="15.75" customHeight="1">
      <c r="A84" s="1">
        <v>83.0</v>
      </c>
      <c r="B84" s="1" t="s">
        <v>250</v>
      </c>
      <c r="C84" s="1" t="s">
        <v>478</v>
      </c>
      <c r="D84" s="1">
        <v>540865.0</v>
      </c>
      <c r="E84" s="1">
        <v>121095.0</v>
      </c>
      <c r="F84" s="1" t="s">
        <v>479</v>
      </c>
    </row>
    <row r="85" ht="15.75" customHeight="1">
      <c r="A85" s="1">
        <v>84.0</v>
      </c>
      <c r="B85" s="1" t="s">
        <v>253</v>
      </c>
      <c r="C85" s="1" t="s">
        <v>480</v>
      </c>
      <c r="D85" s="1">
        <v>543996.0</v>
      </c>
      <c r="E85" s="1">
        <v>124539.0</v>
      </c>
      <c r="F85" s="1" t="s">
        <v>481</v>
      </c>
    </row>
    <row r="86" ht="15.75" customHeight="1">
      <c r="A86" s="1">
        <v>85.0</v>
      </c>
      <c r="B86" s="1" t="s">
        <v>256</v>
      </c>
      <c r="C86" s="1" t="s">
        <v>482</v>
      </c>
      <c r="D86" s="1">
        <v>543126.0</v>
      </c>
      <c r="E86" s="1">
        <v>130929.0</v>
      </c>
      <c r="F86" s="1" t="s">
        <v>258</v>
      </c>
    </row>
    <row r="87" ht="15.75" customHeight="1">
      <c r="A87" s="1">
        <v>86.0</v>
      </c>
      <c r="B87" s="1" t="s">
        <v>259</v>
      </c>
      <c r="C87" s="1" t="s">
        <v>483</v>
      </c>
      <c r="D87" s="1">
        <v>540924.0</v>
      </c>
      <c r="E87" s="1">
        <v>134022.0</v>
      </c>
      <c r="F87" s="1" t="s">
        <v>484</v>
      </c>
    </row>
    <row r="88" ht="15.75" customHeight="1">
      <c r="A88" s="1">
        <v>87.0</v>
      </c>
      <c r="B88" s="1" t="s">
        <v>262</v>
      </c>
      <c r="C88" s="1" t="s">
        <v>485</v>
      </c>
      <c r="D88" s="1">
        <v>545406.0</v>
      </c>
      <c r="E88" s="1">
        <v>135747.0</v>
      </c>
      <c r="F88" s="1" t="s">
        <v>486</v>
      </c>
    </row>
    <row r="89" ht="15.75" customHeight="1">
      <c r="A89" s="1">
        <v>88.0</v>
      </c>
      <c r="B89" s="1" t="s">
        <v>487</v>
      </c>
      <c r="C89" s="1" t="s">
        <v>488</v>
      </c>
      <c r="D89" s="1">
        <v>540536.0</v>
      </c>
      <c r="E89" s="1">
        <v>142743.0</v>
      </c>
      <c r="F89" s="1" t="s">
        <v>489</v>
      </c>
    </row>
    <row r="90" ht="15.75" customHeight="1">
      <c r="A90" s="1">
        <v>89.0</v>
      </c>
      <c r="B90" s="1" t="s">
        <v>268</v>
      </c>
      <c r="C90" s="1" t="s">
        <v>490</v>
      </c>
      <c r="D90" s="1">
        <v>538923.0</v>
      </c>
      <c r="E90" s="1">
        <v>114628.0</v>
      </c>
      <c r="F90" s="1" t="s">
        <v>491</v>
      </c>
    </row>
    <row r="91" ht="15.75" customHeight="1">
      <c r="A91" s="1">
        <v>90.0</v>
      </c>
      <c r="B91" s="1" t="s">
        <v>492</v>
      </c>
      <c r="C91" s="1" t="s">
        <v>492</v>
      </c>
      <c r="D91" s="1">
        <v>536294.0</v>
      </c>
      <c r="E91" s="1">
        <v>114154.0</v>
      </c>
      <c r="F91" s="1" t="s">
        <v>493</v>
      </c>
    </row>
    <row r="92" ht="15.75" customHeight="1">
      <c r="A92" s="1">
        <v>91.0</v>
      </c>
      <c r="B92" s="1" t="s">
        <v>273</v>
      </c>
      <c r="C92" s="1" t="s">
        <v>494</v>
      </c>
      <c r="D92" s="1">
        <v>538683.0</v>
      </c>
      <c r="E92" s="1">
        <v>106873.0</v>
      </c>
      <c r="F92" s="1" t="s">
        <v>495</v>
      </c>
    </row>
    <row r="93" ht="15.75" customHeight="1">
      <c r="A93" s="1">
        <v>92.0</v>
      </c>
      <c r="B93" s="1" t="s">
        <v>276</v>
      </c>
      <c r="C93" s="1" t="s">
        <v>496</v>
      </c>
      <c r="D93" s="1">
        <v>535496.0</v>
      </c>
      <c r="E93" s="1">
        <v>99882.0</v>
      </c>
      <c r="F93" s="1" t="s">
        <v>497</v>
      </c>
    </row>
    <row r="94" ht="15.75" customHeight="1">
      <c r="A94" s="1">
        <v>93.0</v>
      </c>
      <c r="B94" s="1" t="s">
        <v>279</v>
      </c>
      <c r="C94" s="1" t="s">
        <v>498</v>
      </c>
      <c r="D94" s="1">
        <v>535411.0</v>
      </c>
      <c r="E94" s="1">
        <v>99847.0</v>
      </c>
      <c r="F94" s="1" t="s">
        <v>499</v>
      </c>
    </row>
    <row r="95" ht="15.75" customHeight="1">
      <c r="A95" s="1">
        <v>94.0</v>
      </c>
      <c r="B95" s="1" t="s">
        <v>282</v>
      </c>
      <c r="C95" s="1" t="s">
        <v>500</v>
      </c>
      <c r="D95" s="1">
        <v>535462.0</v>
      </c>
      <c r="E95" s="1">
        <v>99667.0</v>
      </c>
      <c r="F95" s="1" t="s">
        <v>501</v>
      </c>
    </row>
    <row r="96" ht="15.75" customHeight="1">
      <c r="A96" s="1">
        <v>95.0</v>
      </c>
      <c r="B96" s="1" t="s">
        <v>285</v>
      </c>
      <c r="C96" s="1" t="s">
        <v>502</v>
      </c>
      <c r="D96" s="1">
        <v>535503.0</v>
      </c>
      <c r="E96" s="1">
        <v>99668.0</v>
      </c>
      <c r="F96" s="1" t="s">
        <v>503</v>
      </c>
    </row>
    <row r="97" ht="15.75" customHeight="1">
      <c r="A97" s="1">
        <v>96.0</v>
      </c>
      <c r="B97" s="1" t="s">
        <v>288</v>
      </c>
      <c r="C97" s="1" t="s">
        <v>504</v>
      </c>
      <c r="D97" s="1">
        <v>543215.0</v>
      </c>
      <c r="E97" s="1">
        <v>10131.0</v>
      </c>
      <c r="F97" s="1" t="s">
        <v>505</v>
      </c>
    </row>
    <row r="98" ht="15.75" customHeight="1">
      <c r="A98" s="1">
        <v>97.0</v>
      </c>
      <c r="B98" s="1" t="s">
        <v>291</v>
      </c>
      <c r="C98" s="1" t="s">
        <v>506</v>
      </c>
      <c r="D98" s="1">
        <v>543233.0</v>
      </c>
      <c r="E98" s="1">
        <v>10139.0</v>
      </c>
      <c r="F98" s="1" t="s">
        <v>507</v>
      </c>
    </row>
    <row r="99" ht="15.75" customHeight="1">
      <c r="A99" s="1">
        <v>98.0</v>
      </c>
      <c r="B99" s="1" t="s">
        <v>294</v>
      </c>
      <c r="C99" s="1" t="s">
        <v>508</v>
      </c>
      <c r="D99" s="1">
        <v>543433.0</v>
      </c>
      <c r="E99" s="1">
        <v>101247.0</v>
      </c>
      <c r="F99" s="1" t="s">
        <v>509</v>
      </c>
    </row>
    <row r="100" ht="15.75" customHeight="1">
      <c r="A100" s="1">
        <v>99.0</v>
      </c>
      <c r="B100" s="1" t="s">
        <v>297</v>
      </c>
      <c r="C100" s="1" t="s">
        <v>510</v>
      </c>
      <c r="D100" s="1">
        <v>549063.0</v>
      </c>
      <c r="E100" s="1">
        <v>83028.0</v>
      </c>
      <c r="F100" s="1" t="s">
        <v>511</v>
      </c>
    </row>
    <row r="101" ht="15.75" customHeight="1">
      <c r="A101" s="1">
        <v>100.0</v>
      </c>
      <c r="B101" s="1" t="s">
        <v>300</v>
      </c>
      <c r="C101" s="1" t="s">
        <v>512</v>
      </c>
      <c r="D101" s="1">
        <v>521317.0</v>
      </c>
      <c r="E101" s="1">
        <v>116394.0</v>
      </c>
      <c r="F101" s="1" t="s">
        <v>513</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worksheet>
</file>