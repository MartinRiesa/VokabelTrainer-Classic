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3" sheetId="1" r:id="rId4"/>
    <sheet state="visible" name="Tabelle2" sheetId="2" r:id="rId5"/>
    <sheet state="visible" name="Tabelle1" sheetId="3" r:id="rId6"/>
  </sheets>
  <definedNames>
    <definedName localSheetId="0" name="ExterneDaten_2">Tabelle3!$A$1:$F$101</definedName>
    <definedName localSheetId="1" name="ExterneDaten_1">Tabelle2!$A$1:$F$101</definedName>
  </definedNames>
  <calcPr/>
</workbook>
</file>

<file path=xl/sharedStrings.xml><?xml version="1.0" encoding="utf-8"?>
<sst xmlns="http://schemas.openxmlformats.org/spreadsheetml/2006/main" count="612" uniqueCount="514">
  <si>
    <t>Nr</t>
  </si>
  <si>
    <t>Station</t>
  </si>
  <si>
    <t>Ort</t>
  </si>
  <si>
    <t>Latitude</t>
  </si>
  <si>
    <t>Longitude</t>
  </si>
  <si>
    <t>Erklärung</t>
  </si>
  <si>
    <t>Main Tower</t>
  </si>
  <si>
    <t>Frankfurt – Main Tower</t>
  </si>
  <si>
    <t>Der Main Tower in Frankfurt am Main ist ein 200 Meter hoher Wolkenkratzer mit öffentlich zugänglicher Aussichtsplattform. Das 2000 eröffnete Hochhaus prägt mit seiner Glasfassade die Frankfurter Skyline und zählt zu den höchsten Gebäuden Deutschlands; von 198 Metern Höhe genießt man einen Rundblick über die Stadt.</t>
  </si>
  <si>
    <t>Finanzmetropole</t>
  </si>
  <si>
    <t>Frankfurt – Römer</t>
  </si>
  <si>
    <t>Frankfurt am Main zählt als Finanzmetropole zu den wichtigsten Bankenstandorten Europas. Sitz der Europäischen Zentralbank und zahlreicher Großbanken, verleiht die Skyline mit den meisten Wolkenkratzern Deutschlands der Stadt den Spitznamen „Mainhattan“.</t>
  </si>
  <si>
    <t>Kurtradition</t>
  </si>
  <si>
    <t>Wiesbaden – Kurhaus</t>
  </si>
  <si>
    <t>Wiesbaden gilt seit dem 19. Jahrhundert als mondäne Kurstadt. Das neoklassizistische Kurhaus von 1907, Thermalquellen und weitläufige Kurparks spiegeln bis heute die historische Wellness-Kultur wider.</t>
  </si>
  <si>
    <t>Johannes Gutenberg</t>
  </si>
  <si>
    <t>Mainz – Gutenberg-Museum</t>
  </si>
  <si>
    <t>Johannes Gutenberg revolutionierte um 1450 in Mainz den Buchdruck mit beweglichen Lettern. Das Gutenberg-Museum zeigt u. a. zwei Gutenberg-Bibeln und demonstriert an historischen Pressen die Technik, die das Lesen weltweit veränderte.</t>
  </si>
  <si>
    <t>Weinfest</t>
  </si>
  <si>
    <t>Rüdesheim – Drosselgasse</t>
  </si>
  <si>
    <t>Die Drosselgasse in Rüdesheim ist eine 144 Meter lange Fachwerkgasse voller Weinstuben. Ihre Weinfeste mit Live-Musik repräsentieren die gesellige Rheingauer Weinkultur.</t>
  </si>
  <si>
    <t>Helene Fischer</t>
  </si>
  <si>
    <t>Wöllstein – Geburtsort</t>
  </si>
  <si>
    <t>Helene Fischer (*1984) wuchs in Wöllstein auf und wurde zur erfolgreichsten deutschen Schlagersängerin. Hits wie „Atemlos durch die Nacht“ und zahlreiche Auszeichnungen prägen ihre Karriere.</t>
  </si>
  <si>
    <t>Loreley</t>
  </si>
  <si>
    <t>St. Goar – Loreleyfelsen</t>
  </si>
  <si>
    <t>Der 132 Meter hohe Loreley-Felsen am Rhein ist sagenumwoben: Eine Nixe soll mit ihrem Gesang Schiffer ins Verderben gelockt haben. Heute ist der Aussichtspunkt Teil des UNESCO-Welterbes Oberes Mittelrheintal.</t>
  </si>
  <si>
    <t>Weinbau</t>
  </si>
  <si>
    <t>Boppard – Rheinschleife</t>
  </si>
  <si>
    <t>An der Rheinschleife bei Boppard wachsen auf steilen Schieferhängen Riesling-Reben. Der Bopparder Hamm dokumentiert seit Jahrhunderten die Weinbautradition des Mittelrheins.</t>
  </si>
  <si>
    <t>Deutsches Eck</t>
  </si>
  <si>
    <t>Koblenz – Deutsches Eck</t>
  </si>
  <si>
    <t>Am Deutschen Eck fließen Mosel und Rhein zusammen. Das Reiterstandbild Kaiser Wilhelms I. (1897) erinnert an die Reichsgründung und wurde nach 1945 zum Symbol der deutschen Einheit.</t>
  </si>
  <si>
    <t>Autobahn Erlebnis</t>
  </si>
  <si>
    <t>Nürburgring – GP-Strecke</t>
  </si>
  <si>
    <t>Deutschlands Autobahnen sind für fehlende Tempolimits bekannt. Auf der Nordschleife des Nürburgrings können Fahrer Hochgeschwindigkeit legal erleben – ein kontrolliertes Pendant zum Autobahnrausch.</t>
  </si>
  <si>
    <t>Beethoven</t>
  </si>
  <si>
    <t>Bonn – Beethoven-Haus</t>
  </si>
  <si>
    <t>Ludwig van Beethoven (1770–1827) wurde in Bonn geboren. Sein Geburtshaus bewahrt Originalinstrumente und Handschriften des Komponisten, dessen Werke die klassische Musik bis heute prägen.</t>
  </si>
  <si>
    <t>Kölner Karneval</t>
  </si>
  <si>
    <t>Köln – Alter Markt</t>
  </si>
  <si>
    <t>Der Kölner Karneval, seit 1823 organisiert, verwandelt die Stadt vom 11. 11. bis Aschermittwoch in ein buntes Volksfest. Höhepunkt ist der Rosenmontagszug mit Hunderttausenden kostümierten Jecken.</t>
  </si>
  <si>
    <t>Konrad Adenauer</t>
  </si>
  <si>
    <t>Köln – Adenauer-Haus</t>
  </si>
  <si>
    <t>Konrad Adenauer (1876–1967) war Kölner Oberbürgermeister und erster Bundeskanzler der Bundesrepublik. Sein Wohnhaus in Rhöndorf erzählt von seinem Einsatz für Wiederaufbau und Westbindung.</t>
  </si>
  <si>
    <t>Neandertaler Fund</t>
  </si>
  <si>
    <t>Mettmann – Neanderthal Museum</t>
  </si>
  <si>
    <t>Der 1856 gefundene Neandertaler-Schädel revolutionierte das Verständnis menschlicher Evolution. Das Neanderthal Museum veranschaulicht die Geschichte unserer fossilen Verwandten.</t>
  </si>
  <si>
    <t>Rheinmetropole</t>
  </si>
  <si>
    <t>Düsseldorf – Rheinturm</t>
  </si>
  <si>
    <t>Düsseldorf verbindet Altstadt, Mode- und Messekultur mit moderner Architektur im Medienhafen. Der Rheinturm bietet einen Panoramablick auf die Rheinmetropole und ihre Kunst- und Shopping-Szene.</t>
  </si>
  <si>
    <t>Stahl &amp; Kultur</t>
  </si>
  <si>
    <t>Duisburg – Innenhafen</t>
  </si>
  <si>
    <t>Der Duisburger Innenhafen, einst Speicher- und Handelshafen, wurde zum Kultur- und Büroquartier umgestaltet. Restaurierte Speicher und Museen zeigen den erfolgreichen Strukturwandel von Stahl zu Kultur.</t>
  </si>
  <si>
    <t>Ruhrindustrie</t>
  </si>
  <si>
    <t>Essen – Zeche Zollverein</t>
  </si>
  <si>
    <t>Die stillgelegte Zeche Zollverein, ein Bauhaus-Industrie-Ensemble, ist UNESCO-Welterbe. Ausstellungen und Events lassen die Bergbaugeschichte des Ruhrgebiets lebendig werden.</t>
  </si>
  <si>
    <t>UNESCO Zollverein</t>
  </si>
  <si>
    <t>Essen – Kokerei Zollverein</t>
  </si>
  <si>
    <t>Die Kokerei Zollverein verarbeitete bis 1993 Kohle zu Koks und ist heute Teil des Weltkulturerbes. Besucher erkunden Fördertürme, Öfen und Aussichtsplattformen eines herausragenden Industriedenkmals.</t>
  </si>
  <si>
    <t>Fußball Bundesliga</t>
  </si>
  <si>
    <t>Dortmund – Signal Iduna Park</t>
  </si>
  <si>
    <t>Borussia Dortmunds Stadion mit der legendären „Gelben Wand“ steht für die Fankultur der Fußball-Bundesliga, die seit 1963 Millionen begeistert.</t>
  </si>
  <si>
    <t>Westfälische Fachwerkstadt</t>
  </si>
  <si>
    <t>Münster – Prinzipalmarkt</t>
  </si>
  <si>
    <t>Münsters Prinzipalmarkt mit Giebelhäusern und Arkaden, Rathaus und Lambertikirche vereint mittelalterliche Baukunst und Wiederaufbau. Fahrräder und Friedensgeschichte prägen das Stadtbild.</t>
  </si>
  <si>
    <t>Teutoburger Wald</t>
  </si>
  <si>
    <t>Bielefeld – Sparrenburg</t>
  </si>
  <si>
    <t>Die mittelalterliche Sparrenburg überragt Bielefeld am Rand des Teutoburger Waldes, der durch die Varusschlacht (9 n. Chr.) historisch bekannt ist.</t>
  </si>
  <si>
    <t>Moderne Stadt</t>
  </si>
  <si>
    <t>Hannover – Neues Rathaus</t>
  </si>
  <si>
    <t>Hannovers wilhelminisches Neues Rathaus (1913) symbolisiert den Wiederaufbau der Stadt, die heute Messestandort und grüne Großstadt mit den Herrenhäuser Gärten ist.</t>
  </si>
  <si>
    <t>Hannah Arendt</t>
  </si>
  <si>
    <t>Hannover – H.-Arendt-Platz</t>
  </si>
  <si>
    <t>Die politische Theoretikerin Hannah Arendt (1906–1975) wurde in Hannover geboren. Der Hannah-Arendt-Platz mahnt an Demokratie, Freiheit und Verantwortung.</t>
  </si>
  <si>
    <t>Expo 2000</t>
  </si>
  <si>
    <t>Hannover – Expo-Park</t>
  </si>
  <si>
    <t>Die Expo 2000 war die erste Weltausstellung in Deutschland. Pavillons und Neubauten im Expo-Park erinnern an innovative Konzepte zu Mensch, Natur und Technik.</t>
  </si>
  <si>
    <t>Schloss Herrenhausen</t>
  </si>
  <si>
    <t>Hannover – Herrenhausen</t>
  </si>
  <si>
    <t>Das rekonstruierte Schloss Herrenhausen liegt inmitten der berühmten barocken Herrenhäuser Gärten mit Wasserspielen und Botanischem Berggarten.</t>
  </si>
  <si>
    <t>Braunschweig – Schloss</t>
  </si>
  <si>
    <t>Die Fassade des im Krieg zerstörten Welfenschlosses wurde 2007 vor ein modernes Einkaufs- und Kulturzentrum gesetzt – ein Beispiel für Tradition im neuen Gewand.</t>
  </si>
  <si>
    <t>Planetarium</t>
  </si>
  <si>
    <t>Wolfsburg – Phaeno</t>
  </si>
  <si>
    <t>Das von Zaha Hadid entworfene Phaeno Science Center inszeniert Naturphänomene interaktiv. Es ergänzt Wolfsburgs Autostadt und die VW-Historie um Wissenschaftserlebnisse.</t>
  </si>
  <si>
    <t>Volkswagen-Gründung</t>
  </si>
  <si>
    <t>Wolfsburg – Autostadt</t>
  </si>
  <si>
    <t>1938 als Standort für den VW-Käfer gegründet, erzählt Wolfsburgs Autostadt mit Pavillons und Oldtimern die Geschichte des Konzerns und des Automobils.</t>
  </si>
  <si>
    <t>Harz &amp; Bergbau</t>
  </si>
  <si>
    <t>Goslar – Altstadt</t>
  </si>
  <si>
    <t>Die Fachwerk-Altstadt Goslars und das Erzbergwerk Rammelsberg bilden ein gemeinsames UNESCO-Welterbe: ein Jahrtausend Harzer Erzbergbau trifft mittelalterliche Kaiserstadt.</t>
  </si>
  <si>
    <t>Universitätsstadt</t>
  </si>
  <si>
    <t>Göttingen – Gänseliesel</t>
  </si>
  <si>
    <t>Seit 1737 prägt die Universität Göttingen die Stadt. Der Gänseliesel-Brunnen gilt als „meistgeküsstes Mädchen der Welt“, denn frisch promovierte Doktoranden küssen die Statue.</t>
  </si>
  <si>
    <t>Brüder Grimm</t>
  </si>
  <si>
    <t>Kassel – Grimm-Museum</t>
  </si>
  <si>
    <t>In Kassel sammelten Jacob und Wilhelm Grimm ihre weltberühmten Märchen. Die Grimmwelt präsentiert Manuskripte und sprachwissenschaftliches Erbe.</t>
  </si>
  <si>
    <t>Documenta</t>
  </si>
  <si>
    <t>Kassel – Friedrichsplatz</t>
  </si>
  <si>
    <t>Die alle fünf Jahre stattfindende documenta macht Kassel zur Welthauptstadt zeitgenössischer Kunst und verwandelt die Stadt in ein riesiges Open-Air-Museum.</t>
  </si>
  <si>
    <t>Landgrafenkunst</t>
  </si>
  <si>
    <t>Kassel – Bergpark Wilhelmshöhe</t>
  </si>
  <si>
    <t>Europas größter Hangpark mit Herkules-Statue und barocken Wasserspielen ist UNESCO-Welterbe und Zeugnis landgräflicher Gartenkunst.</t>
  </si>
  <si>
    <t>Wartburgfest</t>
  </si>
  <si>
    <t>Eisenach – Wartburg</t>
  </si>
  <si>
    <t>1817 forderten Studenten auf der Wartburg nationale Einheit und Freiheitsrechte. Die Burg ist auch durch Luthers Bibelübersetzung berühmt.</t>
  </si>
  <si>
    <t>Lutherische Kirchenkunst</t>
  </si>
  <si>
    <t>Erfurt – Dom</t>
  </si>
  <si>
    <t>Der gotische Erfurter Dom beherbergt die Gloriosa, größte freischwingende mittelalterliche Glocke. Hier wurde Martin Luther 1507 zum Priester geweiht.</t>
  </si>
  <si>
    <t>Goethe</t>
  </si>
  <si>
    <t>Weimar – Goethe-Haus</t>
  </si>
  <si>
    <t>Goethes Wohnhaus zeigt originale Räume und Sammlungen des Dichters, der mit Schiller die Weimarer Klassik prägte.</t>
  </si>
  <si>
    <t>Hyperinflation 1923</t>
  </si>
  <si>
    <t>Weimar – DNT</t>
  </si>
  <si>
    <t>Die Geldentwertung der Weimarer Republik erreichte 1923 ihren Höhepunkt: Preise explodierten, Ersparnisse verfielen – ein Trauma deutscher Wirtschaftsgeschichte.</t>
  </si>
  <si>
    <t>Rennsteig</t>
  </si>
  <si>
    <t>Thüringer Wald – Rennsteig</t>
  </si>
  <si>
    <t>Der 170 km lange Rennsteig-Kammweg ist ältester Fernwanderweg Deutschlands und verbindet Kultur- und Naturlandschaften des Thüringer Waldes.</t>
  </si>
  <si>
    <t>Glasmacherkunst</t>
  </si>
  <si>
    <t>Lauscha – Glasbläserwerkstatt</t>
  </si>
  <si>
    <t>Lauscha gilt als Geburtsort der gläsernen Christbaumkugel. Seit 1597 pflegen Familienbetriebe hier die Kunst des Glasblasens.</t>
  </si>
  <si>
    <t>Barockschloss</t>
  </si>
  <si>
    <t>Coburg – Veste Coburg</t>
  </si>
  <si>
    <t>Die Veste Coburg, eine der größten Burgen Deutschlands, beherbergt Kunstsammlungen und war 1530 Luther-Fluchtort.</t>
  </si>
  <si>
    <t>Biertradition</t>
  </si>
  <si>
    <t>Kulmbach – Mönchshof</t>
  </si>
  <si>
    <t>Kulmbach präsentiert im Bayerischen Brauereimuseum Starkbier- und Eisbock-Tradition und feiert jährlich die Bierwoche.</t>
  </si>
  <si>
    <t>Biertradition2</t>
  </si>
  <si>
    <t>Kulmbach – Brauerei</t>
  </si>
  <si>
    <t>Fränkische Braukunst mit Reinheitsgebot: Kulmbacher Starkbiere genießen internationalen Ruf und prägen lokale Identität.</t>
  </si>
  <si>
    <t>Markgrafenkunst</t>
  </si>
  <si>
    <t>Bayreuth – Opernhaus</t>
  </si>
  <si>
    <t>Das Markgräfliche Opernhaus (1748) ist ein vollständig erhaltenes Barocktheater und UNESCO-Welterbe – ein Juwel höfischer Festkultur.</t>
  </si>
  <si>
    <t>Richard Wagner</t>
  </si>
  <si>
    <t>Bayreuth – Festspielhaus</t>
  </si>
  <si>
    <t>Das 1876 eröffnete Festspielhaus, akustisch auf Wagners Musikdramen ausgelegt, zieht Opernliebhaber aus aller Welt zu den Bayreuther Festspielen.</t>
  </si>
  <si>
    <t>Fränkische Schweiz</t>
  </si>
  <si>
    <t>Pottenstein – Teufelshöhle</t>
  </si>
  <si>
    <t>Die zerklüftete Karstlandschaft mit Tropfsteinhöhlen und Burgruinen ist seit dem 19. Jh. ein beliebtes Wander- und Klettergebiet.</t>
  </si>
  <si>
    <t>UNESCO-Altstadt</t>
  </si>
  <si>
    <t>Bamberg – Altstadt</t>
  </si>
  <si>
    <t>Bambergs sieben-hügelige Altstadt mit romanischem Dom und Rathaus in der Regnitz gilt als größtes unzerstörtes historisches Stadtbild Deutschlands.</t>
  </si>
  <si>
    <t>Weihnachtsmarkt</t>
  </si>
  <si>
    <t>Nürnberg – Hauptmarkt</t>
  </si>
  <si>
    <t>Der Nürnberger Christkindlesmarkt, seit dem 16. Jh. belegt, lockt mit Lebkuchen und Holzspielzeug jährlich zwei Millionen Besucher.</t>
  </si>
  <si>
    <t>Holocaust-Dokumentation</t>
  </si>
  <si>
    <t>Nürnberg – Memorium</t>
  </si>
  <si>
    <t>Das Memorium Nürnberger Prozesse erinnert in Saal 600 an die juristische Aufarbeitung der NS-Verbrechen und die Geburtsstunde des Völkerstrafrechts.</t>
  </si>
  <si>
    <t>Bier Reinheitsgebot</t>
  </si>
  <si>
    <t>Ingolstadt – Herzogskasten</t>
  </si>
  <si>
    <t>1516 verkündeten bayerische Herzöge in Ingolstadt das Reinheitsgebot: Bier darf nur aus Wasser, Gerste, Hopfen bestehen – älteste Lebensmittelvorschrift der Welt.</t>
  </si>
  <si>
    <t>Fußball Allianz Arena</t>
  </si>
  <si>
    <t>München – Allianz Arena</t>
  </si>
  <si>
    <t>Die 2005 eröffnete Allianz Arena mit licht­durch­lässiger Außenhaut ist Heim des FC Bayern und eines der markantesten Stadien Europas.</t>
  </si>
  <si>
    <t>Olympia 1972</t>
  </si>
  <si>
    <t>München – Olympiapark</t>
  </si>
  <si>
    <t>Die Spiele von 1972 setzten mit ihrer Zeltdach-Architektur neue Maßstäbe; das Attentat auf die israelische Mannschaft prägte die Erinnerung an das moderne Areal.</t>
  </si>
  <si>
    <t>Sophie Scholl</t>
  </si>
  <si>
    <t>München – LMU</t>
  </si>
  <si>
    <t>Sophie Scholl verteilte 1943 Flugblätter der „Weißen Rose“ an der LMU. Heute mahnen Gedenktafeln an ihren mutigen Widerstand gegen das NS-Regime.</t>
  </si>
  <si>
    <t>Oktoberfest</t>
  </si>
  <si>
    <t>München – Theresienwiese</t>
  </si>
  <si>
    <t>Seit 1810 feiert München das Oktoberfest. Riesige Bierzelte, Fahrgeschäfte und Trachten ziehen jährlich Millionen Besucher an.</t>
  </si>
  <si>
    <t>Schloss Neuschwanstein</t>
  </si>
  <si>
    <t>Schwangau – Neuschwanstein</t>
  </si>
  <si>
    <t>König Ludwigs Märchenschloss (ab 1869) verkörpert romantischen Historismus in alpiner Kulisse und diente als Vorbild für das Disney-Schloss.</t>
  </si>
  <si>
    <t>Zeppelinflug 1900</t>
  </si>
  <si>
    <t>Friedrichshafen – Zeppelin Museum</t>
  </si>
  <si>
    <t>Hier startete 1900 der erste Zeppelin der Welt. Das Museum zeigt Exponate zur Luftschiffära, darunter ein Teilstück der „Hindenburg“.</t>
  </si>
  <si>
    <t>Albert Einstein</t>
  </si>
  <si>
    <t>Ulm – Einstein-Brunnen</t>
  </si>
  <si>
    <t>Albert Einstein, 1879 in Ulm geboren, revolutionierte mit Relativitäts- und Quantentheorie die Physik. Der Brunnen erinnert an das Genie.</t>
  </si>
  <si>
    <t>Cannstatter Wasen</t>
  </si>
  <si>
    <t>Stuttgart – Wasen</t>
  </si>
  <si>
    <t>Das Cannstatter Volksfest (seit 1818) ist nach dem Oktoberfest das zweitgrößte deutsche Bier- und Volksfest und zieht jährlich rund vier Millionen Gäste an.</t>
  </si>
  <si>
    <t>Heidelberg – Schloss</t>
  </si>
  <si>
    <t>Die romantische Schlossruine über dem Neckar war Residenz der Kurfürsten. Ihre Renaissance-Fassaden und das Große Fass begeisterten schon Goethe.</t>
  </si>
  <si>
    <t>Carl Benz</t>
  </si>
  <si>
    <t>Mannheim – Carl-Benz-Haus</t>
  </si>
  <si>
    <t>Carl Benz baute 1885/86 in Mannheim den ersten praxistauglichen Motorwagen. Bertha Benz’ erste Fernfahrt bewies seine Alltagstauglichkeit.</t>
  </si>
  <si>
    <t>Barocke Stadt</t>
  </si>
  <si>
    <t>Würzburg – Residenz</t>
  </si>
  <si>
    <t>Die Würzburger Residenz (1720–1744) mit Tiepolo-Fresko und Spiegelsaal gilt als Hauptwerk des süddeutschen Barock und ist UNESCO-Welterbe.</t>
  </si>
  <si>
    <t>Schwarzwälder Kirschtorte</t>
  </si>
  <si>
    <t>Triberg – Café Schäfer</t>
  </si>
  <si>
    <t>Im Schwarzwald entstand die Sahne-Schokoladen-Kirschtorte mit Kirschwasser. Das Café Schäfer serviert sie nach historischem Rezept.</t>
  </si>
  <si>
    <t>Aachener Dom</t>
  </si>
  <si>
    <t>Aachen – Dom</t>
  </si>
  <si>
    <t>Karls Pfalzkapelle (8./9. Jh.) und gotischer Chor sind erstes deutsches UNESCO-Welterbe. Über 30 deutsche Könige wurden hier gekrönt.</t>
  </si>
  <si>
    <t>UNESCO Dombezirk</t>
  </si>
  <si>
    <t>Aachen – Dombezirk</t>
  </si>
  <si>
    <t>Der Aachener Domschatz mit Karlsschrein und Marienschrein zählt zu den bedeutendsten Kirchenschätzen Europas und ergänzt den Weltkulturerbe-Dom.</t>
  </si>
  <si>
    <t>Lutherstadt</t>
  </si>
  <si>
    <t>Eisleben – Gedenkstätten</t>
  </si>
  <si>
    <t>Luthers Geburts- und Sterbehäuser in Eisleben sind UNESCO-Welterbe und dokumentieren Leben und Wirkung des Reformators.</t>
  </si>
  <si>
    <t>Architektur­moderne</t>
  </si>
  <si>
    <t>Dessau – Meisterhäuser</t>
  </si>
  <si>
    <t>Die Meisterhäuser (1925/26) von Gropius für Bauhaus-Lehrer wie Kandinsky repräsentieren funktionale Bauhaus-Architektur im Originalzustand.</t>
  </si>
  <si>
    <t>Bauhaus-Gründung</t>
  </si>
  <si>
    <t>Dessau – Bauhaus</t>
  </si>
  <si>
    <t>Das Bauhausgebäude (1926) mit Glasfassade steht für die Verschmelzung von Kunst, Handwerk und Industrie – ein Meilenstein der Moderne.</t>
  </si>
  <si>
    <t>Reformation</t>
  </si>
  <si>
    <t>Lutherstadt Wittenberg – Schlosskirche</t>
  </si>
  <si>
    <t>Luthers 95 Thesen von 1517 an der Schlosskirche lösten die Reformation aus und veränderten Kirche und Gesellschaft nachhaltig.</t>
  </si>
  <si>
    <t>Jazzfest</t>
  </si>
  <si>
    <t>Leipzig – Moritzbastei</t>
  </si>
  <si>
    <t>Die Leipziger Jazztage (seit 1976) holen internationale Jazzgrößen in historische Spielstätten wie die unterirdische Moritzbastei.</t>
  </si>
  <si>
    <t>Johann Sebastian Bach</t>
  </si>
  <si>
    <t>Leipzig – Bach-Museum</t>
  </si>
  <si>
    <t>Bach wirkte ab 1723 als Thomaskantor in Leipzig. Das Museum zeigt Handschriften und Instrumente des Barockkomponisten.</t>
  </si>
  <si>
    <t>Völkerschlacht 1813</t>
  </si>
  <si>
    <t>Leipzig – Denkmal</t>
  </si>
  <si>
    <t>Das 91 Meter hohe Völkerschlachtdenkmal erinnert an Napoleons Niederlage in der größten Schlacht vor dem Ersten Weltkrieg.</t>
  </si>
  <si>
    <t>Meißen Porzellan</t>
  </si>
  <si>
    <t>Meißen – Porzellanmuseum</t>
  </si>
  <si>
    <t>1710 entstand in Meißen das erste europäische Hartporzellan. Das Museum zeigt Meisterstücke mit den gekreuzten Schwertern.</t>
  </si>
  <si>
    <t>Forschung &amp; Flug</t>
  </si>
  <si>
    <t>Berlin – Dt. Technikmuseum</t>
  </si>
  <si>
    <t>Das Technikmuseum präsentiert Lokomotiven, Schiffe und einen „Rosinenbomber“ auf dem Dach – Technikgeschichte zum Anfassen.</t>
  </si>
  <si>
    <t>Preußische Pracht</t>
  </si>
  <si>
    <t>Potsdam – Schloss Sanssouci</t>
  </si>
  <si>
    <t>Friedrich der Große ließ Sanssouci (1747) als Rokoko-Sommerresidenz über Weinbergterrassen erbauen; Park und Schlösser sind UNESCO-Welterbe.</t>
  </si>
  <si>
    <t>Filmgeschichte</t>
  </si>
  <si>
    <t>Potsdam – Filmpark Babelsberg</t>
  </si>
  <si>
    <t>Die Babelsberger Studios (ab 1912) sind Wiege des deutschen Films. Der Filmpark gewährt Einblicke in Kulissen, Stunts und Tricktechnik.</t>
  </si>
  <si>
    <t>Berliner Luftbrücke</t>
  </si>
  <si>
    <t>Berlin – Tempelhof</t>
  </si>
  <si>
    <t>1948/49 versorgten Rosinenbomber den blockierten Westteil der Stadt über den Flughafen Tempelhof – ein Symbol westlicher Solidarität.</t>
  </si>
  <si>
    <t>Kalter Krieg</t>
  </si>
  <si>
    <t>Berlin – Checkpoint Charlie</t>
  </si>
  <si>
    <t>Der bekannteste Berliner Grenzübergang war Schauplatz brisanter Panzerkonfrontationen zwischen USA und UdSSR im Oktober 1961.</t>
  </si>
  <si>
    <t>Hauptstadtgeschichte</t>
  </si>
  <si>
    <t>Berlin – Brandenburger Tor</t>
  </si>
  <si>
    <t>Das klassizistische Tor (1791) stand bis 1989 an der Mauer und wurde nach dem Fall zum Symbol der deutschen Einheit.</t>
  </si>
  <si>
    <t>Techno-Kultur</t>
  </si>
  <si>
    <t>Berlin – Berghain</t>
  </si>
  <si>
    <t>Der Club Berghain in einem ehemaligen Kraftwerk gilt als Mekka des Techno: kompromisslose Türpolitik und erstklassiger Sound erzeugen Kultstatus.</t>
  </si>
  <si>
    <t>Mauerfall</t>
  </si>
  <si>
    <t>Berlin – East Side Gallery</t>
  </si>
  <si>
    <t>Die bemalten 1,3 km Mauerreste zeigen über 100 Murals, die Freude über die friedliche Revolution von 1989 ausdrücken.</t>
  </si>
  <si>
    <t>Parklandschaft</t>
  </si>
  <si>
    <t>Fürstenberg/Havel – Schloss</t>
  </si>
  <si>
    <t>Schloss Fürstenberg liegt in einer seen- und waldreichen Parklandschaft Nordbrandenburgs und spiegelt adlige Kultur in naturnaher Umgebung.</t>
  </si>
  <si>
    <t>Brandenburgische Seen</t>
  </si>
  <si>
    <t>Rheinsberg – Schloss</t>
  </si>
  <si>
    <t>Schloss Rheinsberg am Grienericksee, einst Residenz Friedrichs des Großen, repräsentiert die idyllischen Seen des Ruppiner Landes.</t>
  </si>
  <si>
    <t>Müritzeum</t>
  </si>
  <si>
    <t>Waren – Müritzeum</t>
  </si>
  <si>
    <t>Deutschlands größtes Süßwasseraquarium informiert im Müritzeum über Flora und Fauna der Mecklenburgischen Seenplatte.</t>
  </si>
  <si>
    <t>Hafengeschichte</t>
  </si>
  <si>
    <t>Rostock – Alter Strom</t>
  </si>
  <si>
    <t>Warnemündes Alter Strom zeigt mit Fischerbooten und Kapitänshäusern die maritime Tradition der Hansestadt Rostock.</t>
  </si>
  <si>
    <t>Fischerdorf</t>
  </si>
  <si>
    <t>Ahrenshoop – Künstlerkolonie</t>
  </si>
  <si>
    <t>Das ehemalige Fischerdorf Ahrenshoop wurde ab 1890 zur Künstlerkolonie; Reetdächer und Ostseelicht inspirieren Maler bis heute.</t>
  </si>
  <si>
    <t>Stadterhebung</t>
  </si>
  <si>
    <t>Stralsund – Altstadt</t>
  </si>
  <si>
    <t>Stralsunds Backsteingotik-Altstadt erhielt 1234 Stadtrecht; als Hanse-Hafen ist sie zusammen mit Wismar UNESCO-Welterbe.</t>
  </si>
  <si>
    <t>Backsteingotik</t>
  </si>
  <si>
    <t>Greifswald – Dom</t>
  </si>
  <si>
    <t>Der Dom St. Nikolai (13. Jh.) dominiert Greifswalds Silhouette und verkörpert norddeutsche Backsteingotik und Hanse-Reichtum.</t>
  </si>
  <si>
    <t>Nationalpark Jasmund</t>
  </si>
  <si>
    <t>Rügen – Kreideküste</t>
  </si>
  <si>
    <t>Die weißen Kreidefelsen und alten Buchenwälder des Nationalparks Jasmund sind UNESCO-Weltnaturerbe und Inspiration romantischer Maler.</t>
  </si>
  <si>
    <t>Kaiserbäder Usedom</t>
  </si>
  <si>
    <t>Usedom – Kaiserbäder</t>
  </si>
  <si>
    <t>Ahlbeck, Heringsdorf, Bansin lockten seit 1900 mit Seebrücken und Bäderarchitektur das Berliner Bürgertum an die Ostsee.</t>
  </si>
  <si>
    <t>UNESCO-Altstadt Wismar</t>
  </si>
  <si>
    <t>Wismar – Altstadt</t>
  </si>
  <si>
    <t>Giebelhäuser, Wasserkunst und Backsteinkirchen bezeugen Wismars Hanse-Vergangenheit und machten die Altstadt zum Weltkulturerbe.</t>
  </si>
  <si>
    <t>Schwerin – Schloss</t>
  </si>
  <si>
    <t>Das romantische Insel-Schloss mit Türmen und goldenem Turmhelm ist Sitz des Landtags Mecklenburg-Vorpommerns und ein Märchenmotiv.</t>
  </si>
  <si>
    <t>Backsteingotik Ost</t>
  </si>
  <si>
    <t>Lübeck – Holstentor</t>
  </si>
  <si>
    <t>Das spätgotische Holstentor (1464–1478) mit Zwillings­türmen ist Lübecks Wahrzeichen und erinnert an die Blüte der Hanse.</t>
  </si>
  <si>
    <t>St. Michaelis</t>
  </si>
  <si>
    <t>Hamburg – Michel</t>
  </si>
  <si>
    <t>Der barocke Michel mit 132 m Turm bietet Seefahrern Orientierung und Hamburgern ein identitätsstiftendes Wahrzeichen.</t>
  </si>
  <si>
    <t>Elbphilharmonie</t>
  </si>
  <si>
    <t>Hamburg – Elbphilharmonie</t>
  </si>
  <si>
    <t>Das 2017 eröffnete Konzerthaus kombiniert modernen Glaswellenbau auf historischem Kaispeicher und setzt akustische Maßstäbe.</t>
  </si>
  <si>
    <t>Hafengeburtstag</t>
  </si>
  <si>
    <t>Hamburg – Landungsbrücken</t>
  </si>
  <si>
    <t>Europas größtes Hafenfest feiert seit 1189 die Hamburger Schifffahrt mit Ein- und Auslaufparaden von Segel- bis Kreuzfahrtschiffen.</t>
  </si>
  <si>
    <t>Reeperbahn</t>
  </si>
  <si>
    <t>Hamburg – St. Pauli</t>
  </si>
  <si>
    <t>St. Paulis Reeperbahn ist weltberühmtes Vergnügungs- und Rotlichtviertel, wo in den 1960ern die Beatles ihren Durchbruch hatten.</t>
  </si>
  <si>
    <t>Handball THW Kiel</t>
  </si>
  <si>
    <t>Kiel – Wunderino Arena</t>
  </si>
  <si>
    <t>THW Kiel, vielfacher deutscher und Champions-League-Sieger, sorgt in der Wunderino Arena für Handball-Atmosphäre auf Weltklasseniveau.</t>
  </si>
  <si>
    <t>Kieler Woche</t>
  </si>
  <si>
    <t>Kiel – Hörn</t>
  </si>
  <si>
    <t>Seit 1882 ist die Kieler Woche das größte Segelereignis der Welt; Regatten und maritimes Volksfest beleben eine Woche lang die Förde.</t>
  </si>
  <si>
    <t>Max Planck</t>
  </si>
  <si>
    <t>Kiel – Max-Planck-Schule</t>
  </si>
  <si>
    <t>Der in Kiel geborene Physiker Max Planck (1858–1947) begründete mit seiner Quantentheorie die moderne Physik.</t>
  </si>
  <si>
    <t>Sylt Strandkultur</t>
  </si>
  <si>
    <t>Westerland – Strandpromenade</t>
  </si>
  <si>
    <t>Sylt vereint Kurtradition, endlose Sandstrände und Prominentenflair; Strandkörbe und Reetdörfer prägen Deutschlands bekannteste Nordseeinsel.</t>
  </si>
  <si>
    <t>Moderne Kunst</t>
  </si>
  <si>
    <t>Magdeburg – Kunstmuseum</t>
  </si>
  <si>
    <t>Das Kunstmuseum im Kloster Unser Lieben Frauen verbindet romanische Architektur mit internationaler Gegenwartskunst – Symbol des modernen Magdeburg.</t>
  </si>
  <si>
    <t>ErklÃ¤rung</t>
  </si>
  <si>
    <t>Frankfurt â€“ Main Tower</t>
  </si>
  <si>
    <t>Der Main Tower in Frankfurt am Main ist ein 200 Meter hoher Wolkenkratzer mit Ã¶ffentlich zugÃ¤nglicher Aussichtsplattform. Das 2000 erÃ¶ffnete Hochhaus prÃ¤gt mit seiner Glasfassade die Frankfurter Skyline und zÃ¤hlt zu den hÃ¶chsten GebÃ¤uden Deutschlands; von 198 Metern HÃ¶he genieÃŸt man einen Rundblick Ã¼ber die Stadt.</t>
  </si>
  <si>
    <t>Frankfurt â€“ RÃ¶mer</t>
  </si>
  <si>
    <t>Frankfurt am Main zÃ¤hlt als Finanzmetropole zu den wichtigsten Bankenstandorten Europas. Sitz der EuropÃ¤ischen Zentralbank und zahlreicher GroÃŸbanken, verleiht die Skyline mit den meisten Wolkenkratzern Deutschlands der Stadt den Spitznamen â€žMainhattanâ€œ.</t>
  </si>
  <si>
    <t>Wiesbaden â€“ Kurhaus</t>
  </si>
  <si>
    <t>Wiesbaden gilt seit dem 19. Jahrhundert als mondÃ¤ne Kurstadt. Das neoklassizistische Kurhaus von 1907, Thermalquellen und weitlÃ¤ufige Kurparks spiegeln bis heute die historische Wellness-Kultur wider.</t>
  </si>
  <si>
    <t>Mainz â€“ Gutenberg-Museum</t>
  </si>
  <si>
    <t>Johannes Gutenberg revolutionierte um 1450 in Mainz den Buchdruck mit beweglichen Lettern. Das Gutenberg-Museum zeigt u. a. zwei Gutenberg-Bibeln und demonstriert an historischen Pressen die Technik, die das Lesen weltweit verÃ¤nderte.</t>
  </si>
  <si>
    <t>RÃ¼desheim â€“ Drosselgasse</t>
  </si>
  <si>
    <t>Die Drosselgasse in RÃ¼desheim ist eine 144 Meter lange Fachwerkgasse voller Weinstuben. Ihre Weinfeste mit Live-Musik reprÃ¤sentieren die gesellige Rheingauer Weinkultur.</t>
  </si>
  <si>
    <t>WÃ¶llstein â€“ Geburtsort</t>
  </si>
  <si>
    <t>Helene Fischer (*1984) wuchs in WÃ¶llstein auf und wurde zur erfolgreichsten deutschen SchlagersÃ¤ngerin. Hits wie â€žAtemlos durch die Nachtâ€œ und zahlreiche Auszeichnungen prÃ¤gen ihre Karriere.</t>
  </si>
  <si>
    <t>St. Goar â€“ Loreleyfelsen</t>
  </si>
  <si>
    <t>Boppard â€“ Rheinschleife</t>
  </si>
  <si>
    <t>An der Rheinschleife bei Boppard wachsen auf steilen SchieferhÃ¤ngen Riesling-Reben. Der Bopparder Hamm dokumentiert seit Jahrhunderten die Weinbautradition des Mittelrheins.</t>
  </si>
  <si>
    <t>Koblenz â€“ Deutsches Eck</t>
  </si>
  <si>
    <t>Am Deutschen Eck flieÃŸen Mosel und Rhein zusammen. Das Reiterstandbild Kaiser Wilhelms I. (1897) erinnert an die ReichsgrÃ¼ndung und wurde nach 1945 zum Symbol der deutschen Einheit.</t>
  </si>
  <si>
    <t>NÃ¼rburgring â€“ GP-Strecke</t>
  </si>
  <si>
    <t>Deutschlands Autobahnen sind fÃ¼r fehlende Tempolimits bekannt. Auf der Nordschleife des NÃ¼rburgrings kÃ¶nnen Fahrer Hochgeschwindigkeit legal erleben â€“ ein kontrolliertes Pendant zum Autobahnrausch.</t>
  </si>
  <si>
    <t>Bonn â€“ Beethoven-Haus</t>
  </si>
  <si>
    <t>Ludwig van Beethoven (1770â€“1827) wurde in Bonn geboren. Sein Geburtshaus bewahrt Originalinstrumente und Handschriften des Komponisten, dessen Werke die klassische Musik bis heute prÃ¤gen.</t>
  </si>
  <si>
    <t>KÃ¶lner Karneval</t>
  </si>
  <si>
    <t>KÃ¶ln â€“ Alter Markt</t>
  </si>
  <si>
    <t>Der KÃ¶lner Karneval, seit 1823 organisiert, verwandelt die Stadt vom 11. 11. bis Aschermittwoch in ein buntes Volksfest. HÃ¶hepunkt ist der Rosenmontagszug mit Hunderttausenden kostÃ¼mierten Jecken.</t>
  </si>
  <si>
    <t>KÃ¶ln â€“ Adenauer-Haus</t>
  </si>
  <si>
    <t>Konrad Adenauer (1876â€“1967) war KÃ¶lner OberbÃ¼rgermeister und erster Bundeskanzler der Bundesrepublik. Sein Wohnhaus in RhÃ¶ndorf erzÃ¤hlt von seinem Einsatz fÃ¼r Wiederaufbau und Westbindung.</t>
  </si>
  <si>
    <t>Mettmann â€“ Neanderthal Museum</t>
  </si>
  <si>
    <t>Der 1856 gefundene Neandertaler-SchÃ¤del revolutionierte das VerstÃ¤ndnis menschlicher Evolution. Das Neanderthal Museum veranschaulicht die Geschichte unserer fossilen Verwandten.</t>
  </si>
  <si>
    <t>DÃ¼sseldorf â€“ Rheinturm</t>
  </si>
  <si>
    <t>DÃ¼sseldorf verbindet Altstadt, Mode- und Messekultur mit moderner Architektur im Medienhafen. Der Rheinturm bietet einen Panoramablick auf die Rheinmetropole und ihre Kunst- und Shopping-Szene.</t>
  </si>
  <si>
    <t>Duisburg â€“ Innenhafen</t>
  </si>
  <si>
    <t>Der Duisburger Innenhafen, einst Speicher- und Handelshafen, wurde zum Kultur- und BÃ¼roquartier umgestaltet. Restaurierte Speicher und Museen zeigen den erfolgreichen Strukturwandel von Stahl zu Kultur.</t>
  </si>
  <si>
    <t>Essen â€“ Zeche Zollverein</t>
  </si>
  <si>
    <t>Essen â€“ Kokerei Zollverein</t>
  </si>
  <si>
    <t>Die Kokerei Zollverein verarbeitete bis 1993 Kohle zu Koks und ist heute Teil des Weltkulturerbes. Besucher erkunden FÃ¶rdertÃ¼rme, Ã–fen und Aussichtsplattformen eines herausragenden Industriedenkmals.</t>
  </si>
  <si>
    <t>FuÃŸball Bundesliga</t>
  </si>
  <si>
    <t>Dortmund â€“ Signal Iduna Park</t>
  </si>
  <si>
    <t>Borussia Dortmunds Stadion mit der legendÃ¤ren â€žGelben Wandâ€œ steht fÃ¼r die Fankultur der FuÃŸball-Bundesliga, die seit 1963 Millionen begeistert.</t>
  </si>
  <si>
    <t>WestfÃ¤lische Fachwerkstadt</t>
  </si>
  <si>
    <t>MÃ¼nster â€“ Prinzipalmarkt</t>
  </si>
  <si>
    <t>MÃ¼nsters Prinzipalmarkt mit GiebelhÃ¤usern und Arkaden, Rathaus und Lambertikirche vereint mittelalterliche Baukunst und Wiederaufbau. FahrrÃ¤der und Friedensgeschichte prÃ¤gen das Stadtbild.</t>
  </si>
  <si>
    <t>Bielefeld â€“ Sparrenburg</t>
  </si>
  <si>
    <t>Die mittelalterliche Sparrenburg Ã¼berragt Bielefeld am Rand des Teutoburger Waldes, der durch die Varusschlacht (9 n. Chr.) historisch bekannt ist.</t>
  </si>
  <si>
    <t>Hannover â€“ Neues Rathaus</t>
  </si>
  <si>
    <t>Hannovers wilhelminisches Neues Rathaus (1913) symbolisiert den Wiederaufbau der Stadt, die heute Messestandort und grÃ¼ne GroÃŸstadt mit den HerrenhÃ¤user GÃ¤rten ist.</t>
  </si>
  <si>
    <t>Hannover â€“ H.-Arendt-Platz</t>
  </si>
  <si>
    <t>Die politische Theoretikerin Hannah Arendt (1906â€“1975) wurde in Hannover geboren. Der Hannah-Arendt-Platz mahnt an Demokratie, Freiheit und Verantwortung.</t>
  </si>
  <si>
    <t>Hannover â€“ Expo-Park</t>
  </si>
  <si>
    <t>Hannover â€“ Herrenhausen</t>
  </si>
  <si>
    <t>Das rekonstruierte Schloss Herrenhausen liegt inmitten der berÃ¼hmten barocken HerrenhÃ¤user GÃ¤rten mit Wasserspielen und Botanischem Berggarten.</t>
  </si>
  <si>
    <t>Braunschweig â€“ Schloss</t>
  </si>
  <si>
    <t>Die Fassade des im Krieg zerstÃ¶rten Welfenschlosses wurde 2007 vor ein modernes Einkaufs- und Kulturzentrum gesetzt â€“ ein Beispiel fÃ¼r Tradition im neuen Gewand.</t>
  </si>
  <si>
    <t>Wolfsburg â€“ Phaeno</t>
  </si>
  <si>
    <t>Das von Zaha Hadid entworfene Phaeno Science Center inszeniert NaturphÃ¤nomene interaktiv. Es ergÃ¤nzt Wolfsburgs Autostadt und die VW-Historie um Wissenschaftserlebnisse.</t>
  </si>
  <si>
    <t>Volkswagen-GrÃ¼ndung</t>
  </si>
  <si>
    <t>Wolfsburg â€“ Autostadt</t>
  </si>
  <si>
    <t>1938 als Standort fÃ¼r den VW-KÃ¤fer gegrÃ¼ndet, erzÃ¤hlt Wolfsburgs Autostadt mit Pavillons und Oldtimern die Geschichte des Konzerns und des Automobils.</t>
  </si>
  <si>
    <t>Goslar â€“ Altstadt</t>
  </si>
  <si>
    <t>UniversitÃ¤tsstadt</t>
  </si>
  <si>
    <t>GÃ¶ttingen â€“ GÃ¤nseliesel</t>
  </si>
  <si>
    <t>Seit 1737 prÃ¤gt die UniversitÃ¤t GÃ¶ttingen die Stadt. Der GÃ¤nseliesel-Brunnen gilt als â€žmeistgekÃ¼sstes MÃ¤dchen der Weltâ€œ, denn frisch promovierte Doktoranden kÃ¼ssen die Statue.</t>
  </si>
  <si>
    <t>BrÃ¼der Grimm</t>
  </si>
  <si>
    <t>Kassel â€“ Grimm-Museum</t>
  </si>
  <si>
    <t>In Kassel sammelten Jacob und Wilhelm Grimm ihre weltberÃ¼hmten MÃ¤rchen. Die Grimmwelt prÃ¤sentiert Manuskripte und sprachwissenschaftliches Erbe.</t>
  </si>
  <si>
    <t>Kassel â€“ Friedrichsplatz</t>
  </si>
  <si>
    <t>Die alle fÃ¼nf Jahre stattfindende documenta macht Kassel zur Welthauptstadt zeitgenÃ¶ssischer Kunst und verwandelt die Stadt in ein riesiges Open-Air-Museum.</t>
  </si>
  <si>
    <t>Kassel â€“ Bergpark WilhelmshÃ¶he</t>
  </si>
  <si>
    <t>Europas grÃ¶ÃŸter Hangpark mit Herkules-Statue und barocken Wasserspielen ist UNESCO-Welterbe und Zeugnis landgrÃ¤flicher Gartenkunst.</t>
  </si>
  <si>
    <t>Eisenach â€“ Wartburg</t>
  </si>
  <si>
    <t>1817 forderten Studenten auf der Wartburg nationale Einheit und Freiheitsrechte. Die Burg ist auch durch Luthers BibelÃ¼bersetzung berÃ¼hmt.</t>
  </si>
  <si>
    <t>Erfurt â€“ Dom</t>
  </si>
  <si>
    <t>Der gotische Erfurter Dom beherbergt die Gloriosa, grÃ¶ÃŸte freischwingende mittelalterliche Glocke. Hier wurde Martin Luther 1507 zum Priester geweiht.</t>
  </si>
  <si>
    <t>Weimar â€“ Goethe-Haus</t>
  </si>
  <si>
    <t>Goethes Wohnhaus zeigt originale RÃ¤ume und Sammlungen des Dichters, der mit Schiller die Weimarer Klassik prÃ¤gte.</t>
  </si>
  <si>
    <t>Weimar â€“ DNT</t>
  </si>
  <si>
    <t>Die Geldentwertung der Weimarer Republik erreichte 1923 ihren HÃ¶hepunkt: Preise explodierten, Ersparnisse verfielen â€“ ein Trauma deutscher Wirtschaftsgeschichte.</t>
  </si>
  <si>
    <t>ThÃ¼ringer Wald â€“ Rennsteig</t>
  </si>
  <si>
    <t>Der 170 km lange Rennsteig-Kammweg ist Ã¤ltester Fernwanderweg Deutschlands und verbindet Kultur- und Naturlandschaften des ThÃ¼ringer Waldes.</t>
  </si>
  <si>
    <t>Lauscha â€“ GlasblÃ¤serwerkstatt</t>
  </si>
  <si>
    <t>Lauscha gilt als Geburtsort der glÃ¤sernen Christbaumkugel. Seit 1597 pflegen Familienbetriebe hier die Kunst des Glasblasens.</t>
  </si>
  <si>
    <t>Coburg â€“ Veste Coburg</t>
  </si>
  <si>
    <t>Die Veste Coburg, eine der grÃ¶ÃŸten Burgen Deutschlands, beherbergt Kunstsammlungen und war 1530 Luther-Fluchtort.</t>
  </si>
  <si>
    <t>Kulmbach â€“ MÃ¶nchshof</t>
  </si>
  <si>
    <t>Kulmbach prÃ¤sentiert im Bayerischen Brauereimuseum Starkbier- und Eisbock-Tradition und feiert jÃ¤hrlich die Bierwoche.</t>
  </si>
  <si>
    <t>Kulmbach â€“ Brauerei</t>
  </si>
  <si>
    <t>FrÃ¤nkische Braukunst mit Reinheitsgebot: Kulmbacher Starkbiere genieÃŸen internationalen Ruf und prÃ¤gen lokale IdentitÃ¤t.</t>
  </si>
  <si>
    <t>Bayreuth â€“ Opernhaus</t>
  </si>
  <si>
    <t>Das MarkgrÃ¤fliche Opernhaus (1748) ist ein vollstÃ¤ndig erhaltenes Barocktheater und UNESCO-Welterbe â€“ ein Juwel hÃ¶fischer Festkultur.</t>
  </si>
  <si>
    <t>Bayreuth â€“ Festspielhaus</t>
  </si>
  <si>
    <t>Das 1876 erÃ¶ffnete Festspielhaus, akustisch auf Wagners Musikdramen ausgelegt, zieht Opernliebhaber aus aller Welt zu den Bayreuther Festspielen.</t>
  </si>
  <si>
    <t>FrÃ¤nkische Schweiz</t>
  </si>
  <si>
    <t>Pottenstein â€“ TeufelshÃ¶hle</t>
  </si>
  <si>
    <t>Die zerklÃ¼ftete Karstlandschaft mit TropfsteinhÃ¶hlen und Burgruinen ist seit dem 19. Jh. ein beliebtes Wander- und Klettergebiet.</t>
  </si>
  <si>
    <t>Bamberg â€“ Altstadt</t>
  </si>
  <si>
    <t>Bambergs sieben-hÃ¼gelige Altstadt mit romanischem Dom und Rathaus in der Regnitz gilt als grÃ¶ÃŸtes unzerstÃ¶rtes historisches Stadtbild Deutschlands.</t>
  </si>
  <si>
    <t>NÃ¼rnberg â€“ Hauptmarkt</t>
  </si>
  <si>
    <t>Der NÃ¼rnberger Christkindlesmarkt, seit dem 16. Jh. belegt, lockt mit Lebkuchen und Holzspielzeug jÃ¤hrlich zwei Millionen Besucher.</t>
  </si>
  <si>
    <t>NÃ¼rnberg â€“ Memorium</t>
  </si>
  <si>
    <t>Das Memorium NÃ¼rnberger Prozesse erinnert in Saal 600 an die juristische Aufarbeitung der NS-Verbrechen und die Geburtsstunde des VÃ¶lkerstrafrechts.</t>
  </si>
  <si>
    <t>Ingolstadt â€“ Herzogskasten</t>
  </si>
  <si>
    <t>1516 verkÃ¼ndeten bayerische HerzÃ¶ge in Ingolstadt das Reinheitsgebot: Bier darf nur aus Wasser, Gerste, Hopfen bestehen â€“ Ã¤lteste Lebensmittelvorschrift der Welt.</t>
  </si>
  <si>
    <t>FuÃŸball Allianz Arena</t>
  </si>
  <si>
    <t>MÃ¼nchen â€“ Allianz Arena</t>
  </si>
  <si>
    <t>Die 2005 erÃ¶ffnete Allianz Arena mit lichtÂ­durchÂ­lÃ¤ssiger AuÃŸenhaut ist Heim des FC Bayern und eines der markantesten Stadien Europas.</t>
  </si>
  <si>
    <t>MÃ¼nchen â€“ Olympiapark</t>
  </si>
  <si>
    <t>Die Spiele von 1972 setzten mit ihrer Zeltdach-Architektur neue MaÃŸstÃ¤be; das Attentat auf die israelische Mannschaft prÃ¤gte die Erinnerung an das moderne Areal.</t>
  </si>
  <si>
    <t>MÃ¼nchen â€“ LMU</t>
  </si>
  <si>
    <t>Sophie Scholl verteilte 1943 FlugblÃ¤tter der â€žWeiÃŸen Roseâ€œ an der LMU. Heute mahnen Gedenktafeln an ihren mutigen Widerstand gegen das NS-Regime.</t>
  </si>
  <si>
    <t>MÃ¼nchen â€“ Theresienwiese</t>
  </si>
  <si>
    <t>Seit 1810 feiert MÃ¼nchen das Oktoberfest. Riesige Bierzelte, FahrgeschÃ¤fte und Trachten ziehen jÃ¤hrlich Millionen Besucher an.</t>
  </si>
  <si>
    <t>Schwangau â€“ Neuschwanstein</t>
  </si>
  <si>
    <t>KÃ¶nig Ludwigs MÃ¤rchenschloss (ab 1869) verkÃ¶rpert romantischen Historismus in alpiner Kulisse und diente als Vorbild fÃ¼r das Disney-Schloss.</t>
  </si>
  <si>
    <t>Friedrichshafen â€“ Zeppelin Museum</t>
  </si>
  <si>
    <t>Hier startete 1900 der erste Zeppelin der Welt. Das Museum zeigt Exponate zur LuftschiffÃ¤ra, darunter ein TeilstÃ¼ck der â€žHindenburgâ€œ.</t>
  </si>
  <si>
    <t>Ulm â€“ Einstein-Brunnen</t>
  </si>
  <si>
    <t>Albert Einstein, 1879 in Ulm geboren, revolutionierte mit RelativitÃ¤ts- und Quantentheorie die Physik. Der Brunnen erinnert an das Genie.</t>
  </si>
  <si>
    <t>Stuttgart â€“ Wasen</t>
  </si>
  <si>
    <t>Das Cannstatter Volksfest (seit 1818) ist nach dem Oktoberfest das zweitgrÃ¶ÃŸte deutsche Bier- und Volksfest und zieht jÃ¤hrlich rund vier Millionen GÃ¤ste an.</t>
  </si>
  <si>
    <t>Heidelberg â€“ Schloss</t>
  </si>
  <si>
    <t>Die romantische Schlossruine Ã¼ber dem Neckar war Residenz der KurfÃ¼rsten. Ihre Renaissance-Fassaden und das GroÃŸe Fass begeisterten schon Goethe.</t>
  </si>
  <si>
    <t>Mannheim â€“ Carl-Benz-Haus</t>
  </si>
  <si>
    <t>Carl Benz baute 1885/86 in Mannheim den ersten praxistauglichen Motorwagen. Bertha Benzâ€™ erste Fernfahrt bewies seine Alltagstauglichkeit.</t>
  </si>
  <si>
    <t>WÃ¼rzburg â€“ Residenz</t>
  </si>
  <si>
    <t>Die WÃ¼rzburger Residenz (1720â€“1744) mit Tiepolo-Fresko und Spiegelsaal gilt als Hauptwerk des sÃ¼ddeutschen Barock und ist UNESCO-Welterbe.</t>
  </si>
  <si>
    <t>SchwarzwÃ¤lder Kirschtorte</t>
  </si>
  <si>
    <t>Triberg â€“ CafÃ© SchÃ¤fer</t>
  </si>
  <si>
    <t>Im Schwarzwald entstand die Sahne-Schokoladen-Kirschtorte mit Kirschwasser. Das CafÃ© SchÃ¤fer serviert sie nach historischem Rezept.</t>
  </si>
  <si>
    <t>Aachen â€“ Dom</t>
  </si>
  <si>
    <t>Karls Pfalzkapelle (8./9. Jh.) und gotischer Chor sind erstes deutsches UNESCO-Welterbe. Ãœber 30 deutsche KÃ¶nige wurden hier gekrÃ¶nt.</t>
  </si>
  <si>
    <t>Aachen â€“ Dombezirk</t>
  </si>
  <si>
    <t>Der Aachener Domschatz mit Karlsschrein und Marienschrein zÃ¤hlt zu den bedeutendsten KirchenschÃ¤tzen Europas und ergÃ¤nzt den Weltkulturerbe-Dom.</t>
  </si>
  <si>
    <t>Eisleben â€“ GedenkstÃ¤tten</t>
  </si>
  <si>
    <t>Luthers Geburts- und SterbehÃ¤user in Eisleben sind UNESCO-Welterbe und dokumentieren Leben und Wirkung des Reformators.</t>
  </si>
  <si>
    <t>ArchitekturÂ­moderne</t>
  </si>
  <si>
    <t>Dessau â€“ MeisterhÃ¤user</t>
  </si>
  <si>
    <t>Die MeisterhÃ¤user (1925/26) von Gropius fÃ¼r Bauhaus-Lehrer wie Kandinsky reprÃ¤sentieren funktionale Bauhaus-Architektur im Originalzustand.</t>
  </si>
  <si>
    <t>Bauhaus-GrÃ¼ndung</t>
  </si>
  <si>
    <t>Dessau â€“ Bauhaus</t>
  </si>
  <si>
    <t>Das BauhausgebÃ¤ude (1926) mit Glasfassade steht fÃ¼r die Verschmelzung von Kunst, Handwerk und Industrie â€“ ein Meilenstein der Moderne.</t>
  </si>
  <si>
    <t>Lutherstadt Wittenberg â€“ Schlosskirche</t>
  </si>
  <si>
    <t>Luthers 95 Thesen von 1517 an der Schlosskirche lÃ¶sten die Reformation aus und verÃ¤nderten Kirche und Gesellschaft nachhaltig.</t>
  </si>
  <si>
    <t>Leipzig â€“ Moritzbastei</t>
  </si>
  <si>
    <t>Die Leipziger Jazztage (seit 1976) holen internationale JazzgrÃ¶ÃŸen in historische SpielstÃ¤tten wie die unterirdische Moritzbastei.</t>
  </si>
  <si>
    <t>Leipzig â€“ Bach-Museum</t>
  </si>
  <si>
    <t>VÃ¶lkerschlacht 1813</t>
  </si>
  <si>
    <t>Leipzig â€“ Denkmal</t>
  </si>
  <si>
    <t>Das 91 Meter hohe VÃ¶lkerschlachtdenkmal erinnert an Napoleons Niederlage in der grÃ¶ÃŸten Schlacht vor dem Ersten Weltkrieg.</t>
  </si>
  <si>
    <t>MeiÃŸen Porzellan</t>
  </si>
  <si>
    <t>MeiÃŸen â€“ Porzellanmuseum</t>
  </si>
  <si>
    <t>1710 entstand in MeiÃŸen das erste europÃ¤ische Hartporzellan. Das Museum zeigt MeisterstÃ¼cke mit den gekreuzten Schwertern.</t>
  </si>
  <si>
    <t>Berlin â€“ Dt. Technikmuseum</t>
  </si>
  <si>
    <t>Das Technikmuseum prÃ¤sentiert Lokomotiven, Schiffe und einen â€žRosinenbomberâ€œ auf dem Dach â€“ Technikgeschichte zum Anfassen.</t>
  </si>
  <si>
    <t>PreuÃŸische Pracht</t>
  </si>
  <si>
    <t>Potsdam â€“ Schloss Sanssouci</t>
  </si>
  <si>
    <t>Friedrich der GroÃŸe lieÃŸ Sanssouci (1747) als Rokoko-Sommerresidenz Ã¼ber Weinbergterrassen erbauen; Park und SchlÃ¶sser sind UNESCO-Welterbe.</t>
  </si>
  <si>
    <t>Potsdam â€“ Filmpark Babelsberg</t>
  </si>
  <si>
    <t>Die Babelsberger Studios (ab 1912) sind Wiege des deutschen Films. Der Filmpark gewÃ¤hrt Einblicke in Kulissen, Stunts und Tricktechnik.</t>
  </si>
  <si>
    <t>Berliner LuftbrÃ¼cke</t>
  </si>
  <si>
    <t>Berlin â€“ Tempelhof</t>
  </si>
  <si>
    <t>1948/49 versorgten Rosinenbomber den blockierten Westteil der Stadt Ã¼ber den Flughafen Tempelhof â€“ ein Symbol westlicher SolidaritÃ¤t.</t>
  </si>
  <si>
    <t>Berlin â€“ Checkpoint Charlie</t>
  </si>
  <si>
    <t>Der bekannteste Berliner GrenzÃ¼bergang war Schauplatz brisanter Panzerkonfrontationen zwischen USA und UdSSR im Oktober 1961.</t>
  </si>
  <si>
    <t>Berlin â€“ Brandenburger Tor</t>
  </si>
  <si>
    <t>Berlin â€“ Berghain</t>
  </si>
  <si>
    <t>Der Club Berghain in einem ehemaligen Kraftwerk gilt als Mekka des Techno: kompromisslose TÃ¼rpolitik und erstklassiger Sound erzeugen Kultstatus.</t>
  </si>
  <si>
    <t>Berlin â€“ East Side Gallery</t>
  </si>
  <si>
    <t>Die bemalten 1,3 km Mauerreste zeigen Ã¼ber 100 Murals, die Freude Ã¼ber die friedliche Revolution von 1989 ausdrÃ¼cken.</t>
  </si>
  <si>
    <t>FÃ¼rstenberg/Havel â€“ Schloss</t>
  </si>
  <si>
    <t>Schloss FÃ¼rstenberg liegt in einer seen- und waldreichen Parklandschaft Nordbrandenburgs und spiegelt adlige Kultur in naturnaher Umgebung.</t>
  </si>
  <si>
    <t>Rheinsberg â€“ Schloss</t>
  </si>
  <si>
    <t>Schloss Rheinsberg am Grienericksee, einst Residenz Friedrichs des GroÃŸen, reprÃ¤sentiert die idyllischen Seen des Ruppiner Landes.</t>
  </si>
  <si>
    <t>MÃ¼ritzeum</t>
  </si>
  <si>
    <t>Waren â€“ MÃ¼ritzeum</t>
  </si>
  <si>
    <t>Deutschlands grÃ¶ÃŸtes SÃ¼ÃŸwasseraquarium informiert im MÃ¼ritzeum Ã¼ber Flora und Fauna der Mecklenburgischen Seenplatte.</t>
  </si>
  <si>
    <t>Rostock â€“ Alter Strom</t>
  </si>
  <si>
    <t>WarnemÃ¼ndes Alter Strom zeigt mit Fischerbooten und KapitÃ¤nshÃ¤usern die maritime Tradition der Hansestadt Rostock.</t>
  </si>
  <si>
    <t>Ahrenshoop â€“ KÃ¼nstlerkolonie</t>
  </si>
  <si>
    <t>Das ehemalige Fischerdorf Ahrenshoop wurde ab 1890 zur KÃ¼nstlerkolonie; ReetdÃ¤cher und Ostseelicht inspirieren Maler bis heute.</t>
  </si>
  <si>
    <t>Stralsund â€“ Altstadt</t>
  </si>
  <si>
    <t>Greifswald â€“ Dom</t>
  </si>
  <si>
    <t>Der Dom St. Nikolai (13. Jh.) dominiert Greifswalds Silhouette und verkÃ¶rpert norddeutsche Backsteingotik und Hanse-Reichtum.</t>
  </si>
  <si>
    <t>RÃ¼gen â€“ KreidekÃ¼ste</t>
  </si>
  <si>
    <t>Die weiÃŸen Kreidefelsen und alten BuchenwÃ¤lder des Nationalparks Jasmund sind UNESCO-Weltnaturerbe und Inspiration romantischer Maler.</t>
  </si>
  <si>
    <t>KaiserbÃ¤der Usedom</t>
  </si>
  <si>
    <t>Usedom â€“ KaiserbÃ¤der</t>
  </si>
  <si>
    <t>Ahlbeck, Heringsdorf, Bansin lockten seit 1900 mit SeebrÃ¼cken und BÃ¤derarchitektur das Berliner BÃ¼rgertum an die Ostsee.</t>
  </si>
  <si>
    <t>Wismar â€“ Altstadt</t>
  </si>
  <si>
    <t>GiebelhÃ¤user, Wasserkunst und Backsteinkirchen bezeugen Wismars Hanse-Vergangenheit und machten die Altstadt zum Weltkulturerbe.</t>
  </si>
  <si>
    <t>Schwerin â€“ Schloss</t>
  </si>
  <si>
    <t>Das romantische Insel-Schloss mit TÃ¼rmen und goldenem Turmhelm ist Sitz des Landtags Mecklenburg-Vorpommerns und ein MÃ¤rchenmotiv.</t>
  </si>
  <si>
    <t>LÃ¼beck â€“ Holstentor</t>
  </si>
  <si>
    <t>Das spÃ¤tgotische Holstentor (1464â€“1478) mit ZwillingsÂ­tÃ¼rmen ist LÃ¼becks Wahrzeichen und erinnert an die BlÃ¼te der Hanse.</t>
  </si>
  <si>
    <t>Hamburg â€“ Michel</t>
  </si>
  <si>
    <t>Der barocke Michel mit 132 m Turm bietet Seefahrern Orientierung und Hamburgern ein identitÃ¤tsstiftendes Wahrzeichen.</t>
  </si>
  <si>
    <t>Hamburg â€“ Elbphilharmonie</t>
  </si>
  <si>
    <t>Das 2017 erÃ¶ffnete Konzerthaus kombiniert modernen Glaswellenbau auf historischem Kaispeicher und setzt akustische MaÃŸstÃ¤be.</t>
  </si>
  <si>
    <t>Hamburg â€“ LandungsbrÃ¼cken</t>
  </si>
  <si>
    <t>Europas grÃ¶ÃŸtes Hafenfest feiert seit 1189 die Hamburger Schifffahrt mit Ein- und Auslaufparaden von Segel- bis Kreuzfahrtschiffen.</t>
  </si>
  <si>
    <t>Hamburg â€“ St. Pauli</t>
  </si>
  <si>
    <t>St. Paulis Reeperbahn ist weltberÃ¼hmtes VergnÃ¼gungs- und Rotlichtviertel, wo in den 1960ern die Beatles ihren Durchbruch hatten.</t>
  </si>
  <si>
    <t>Kiel â€“ Wunderino Arena</t>
  </si>
  <si>
    <t>THW Kiel, vielfacher deutscher und Champions-League-Sieger, sorgt in der Wunderino Arena fÃ¼r Handball-AtmosphÃ¤re auf Weltklasseniveau.</t>
  </si>
  <si>
    <t>Kiel â€“ HÃ¶rn</t>
  </si>
  <si>
    <t>Seit 1882 ist die Kieler Woche das grÃ¶ÃŸte Segelereignis der Welt; Regatten und maritimes Volksfest beleben eine Woche lang die FÃ¶rde.</t>
  </si>
  <si>
    <t>Kiel â€“ Max-Planck-Schule</t>
  </si>
  <si>
    <t>Der in Kiel geborene Physiker Max Planck (1858â€“1947) begrÃ¼ndete mit seiner Quantentheorie die moderne Physik.</t>
  </si>
  <si>
    <t>Westerland â€“ Strandpromenade</t>
  </si>
  <si>
    <t>Sylt vereint Kurtradition, endlose SandstrÃ¤nde und Prominentenflair; StrandkÃ¶rbe und ReetdÃ¶rfer prÃ¤gen Deutschlands bekannteste Nordseeinsel.</t>
  </si>
  <si>
    <t>Magdeburg â€“ Kunstmuseum</t>
  </si>
  <si>
    <t>Das Kunstmuseum im Kloster Unser Lieben Frauen verbindet romanische Architektur mit internationaler Gegenwartskunst â€“ Symbol des modernen Magdeburg.</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</si>
</sst>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4C6E7"/>
          <bgColor rgb="FFB4C6E7"/>
        </patternFill>
      </fill>
      <border/>
    </dxf>
  </dxfs>
  <tableStyles count="2">
    <tableStyle count="3" pivot="0" name="Tabelle3-style">
      <tableStyleElement dxfId="1" type="headerRow"/>
      <tableStyleElement dxfId="2" type="firstRowStripe"/>
      <tableStyleElement dxfId="3" type="secondRowStripe"/>
    </tableStyle>
    <tableStyle count="3" pivot="0" name="Tabelle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G101"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Tabelle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101" displayName="Table_2" name="Table_2" id="2">
  <tableColumns count="6">
    <tableColumn name="Nr" id="1"/>
    <tableColumn name="Station" id="2"/>
    <tableColumn name="Ort" id="3"/>
    <tableColumn name="Latitude" id="4"/>
    <tableColumn name="Longitude" id="5"/>
    <tableColumn name="ErklÃ¤rung" id="6"/>
  </tableColumns>
  <tableStyleInfo name="Tabelle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6.0"/>
    <col customWidth="1" min="3" max="3" width="36.0"/>
    <col customWidth="1" min="4" max="4" width="10.57"/>
    <col customWidth="1" min="5" max="5" width="12.14"/>
    <col customWidth="1" min="6" max="6" width="81.14"/>
    <col customWidth="1" min="7" max="26" width="10.71"/>
  </cols>
  <sheetData>
    <row r="1">
      <c r="A1" s="1" t="s">
        <v>0</v>
      </c>
      <c r="B1" s="1" t="s">
        <v>1</v>
      </c>
      <c r="C1" s="1" t="s">
        <v>2</v>
      </c>
      <c r="D1" s="1" t="s">
        <v>3</v>
      </c>
      <c r="E1" s="1" t="s">
        <v>4</v>
      </c>
      <c r="F1" s="1" t="s">
        <v>5</v>
      </c>
      <c r="G1" s="1"/>
    </row>
    <row r="2">
      <c r="A2" s="1">
        <v>1.0</v>
      </c>
      <c r="B2" s="1" t="s">
        <v>6</v>
      </c>
      <c r="C2" s="1" t="s">
        <v>7</v>
      </c>
      <c r="D2" s="1">
        <v>501096.0</v>
      </c>
      <c r="E2" s="1">
        <v>86724.0</v>
      </c>
      <c r="F2" s="1" t="s">
        <v>8</v>
      </c>
      <c r="G2" s="1" t="str">
        <f>IFERROR(__xludf.DUMMYFUNCTION("GOOGLETRANSLATE(F2, ""de"", ""ar"")"),"البرج الرئيسي في فرانكفورت أم ماين عبارة عن ناطحة سحاب يبلغ ارتفاعها 200 متر مع منصة عرض يمكن الوصول إليها بشكل عام. يشكل المبنى الشاهق، الذي تم افتتاحه عام 2000، أفق فرانكفورت بواجهته الزجاجية ويعتبر أحد أطول المباني في ألمانيا؛ من ارتفاع 198 مترًا، يمكن"&amp;"ك الاستمتاع بإطلالة بانورامية على المدينة.")</f>
        <v>البرج الرئيسي في فرانكفورت أم ماين عبارة عن ناطحة سحاب يبلغ ارتفاعها 200 متر مع منصة عرض يمكن الوصول إليها بشكل عام. يشكل المبنى الشاهق، الذي تم افتتاحه عام 2000، أفق فرانكفورت بواجهته الزجاجية ويعتبر أحد أطول المباني في ألمانيا؛ من ارتفاع 198 مترًا، يمكنك الاستمتاع بإطلالة بانورامية على المدينة.</v>
      </c>
    </row>
    <row r="3">
      <c r="A3" s="1">
        <v>2.0</v>
      </c>
      <c r="B3" s="1" t="s">
        <v>9</v>
      </c>
      <c r="C3" s="1" t="s">
        <v>10</v>
      </c>
      <c r="D3" s="1">
        <v>501106.0</v>
      </c>
      <c r="E3" s="1">
        <v>86821.0</v>
      </c>
      <c r="F3" s="1" t="s">
        <v>11</v>
      </c>
      <c r="G3" s="1" t="str">
        <f>IFERROR(__xludf.DUMMYFUNCTION("GOOGLETRANSLATE(F3, ""de"", ""ar"")"),"باعتبارها مدينة مالية كبرى، تعد فرانكفورت أم ماين واحدة من أهم المواقع المصرفية في أوروبا. موطن البنك المركزي الأوروبي والعديد من البنوك الكبرى، والأفق الذي يضم معظم ناطحات السحاب في ألمانيا يمنح المدينة لقب ""ماينهاتن"".")</f>
        <v>باعتبارها مدينة مالية كبرى، تعد فرانكفورت أم ماين واحدة من أهم المواقع المصرفية في أوروبا. موطن البنك المركزي الأوروبي والعديد من البنوك الكبرى، والأفق الذي يضم معظم ناطحات السحاب في ألمانيا يمنح المدينة لقب "ماينهاتن".</v>
      </c>
    </row>
    <row r="4">
      <c r="A4" s="1">
        <v>3.0</v>
      </c>
      <c r="B4" s="1" t="s">
        <v>12</v>
      </c>
      <c r="C4" s="1" t="s">
        <v>13</v>
      </c>
      <c r="D4" s="1">
        <v>500826.0</v>
      </c>
      <c r="E4" s="1">
        <v>82435.0</v>
      </c>
      <c r="F4" s="1" t="s">
        <v>14</v>
      </c>
      <c r="G4" s="1" t="str">
        <f>IFERROR(__xludf.DUMMYFUNCTION("GOOGLETRANSLATE(F4, ""de"", ""ar"")"),"تعتبر فيسبادن مدينة سبا متطورة منذ القرن التاسع عشر. لا يزال بيت السبا الكلاسيكي الجديد الذي يعود تاريخه إلى عام 1907 والينابيع الحرارية ومنتزهات السبا الواسعة يعكس ثقافة العافية التاريخية اليوم.")</f>
        <v>تعتبر فيسبادن مدينة سبا متطورة منذ القرن التاسع عشر. لا يزال بيت السبا الكلاسيكي الجديد الذي يعود تاريخه إلى عام 1907 والينابيع الحرارية ومنتزهات السبا الواسعة يعكس ثقافة العافية التاريخية اليوم.</v>
      </c>
    </row>
    <row r="5">
      <c r="A5" s="1">
        <v>4.0</v>
      </c>
      <c r="B5" s="1" t="s">
        <v>15</v>
      </c>
      <c r="C5" s="1" t="s">
        <v>16</v>
      </c>
      <c r="D5" s="1">
        <v>499983.0</v>
      </c>
      <c r="E5" s="1">
        <v>82711.0</v>
      </c>
      <c r="F5" s="1" t="s">
        <v>17</v>
      </c>
      <c r="G5" s="1" t="str">
        <f>IFERROR(__xludf.DUMMYFUNCTION("GOOGLETRANSLATE(F5, ""de"", ""ar"")"),"أحدث يوهانس غوتنبرغ ثورة في طباعة الكتب بالحروف المتحركة في ماينز حوالي عام 1450. يعرض متحف غوتنبرغ، من بين أشياء أخرى: كتابين من كتب غوتنبرغ المقدسة ويعرض على المطابع التاريخية التكنولوجيا التي غيرت القراءة في جميع أنحاء العالم.")</f>
        <v>أحدث يوهانس غوتنبرغ ثورة في طباعة الكتب بالحروف المتحركة في ماينز حوالي عام 1450. يعرض متحف غوتنبرغ، من بين أشياء أخرى: كتابين من كتب غوتنبرغ المقدسة ويعرض على المطابع التاريخية التكنولوجيا التي غيرت القراءة في جميع أنحاء العالم.</v>
      </c>
    </row>
    <row r="6">
      <c r="A6" s="1">
        <v>5.0</v>
      </c>
      <c r="B6" s="1" t="s">
        <v>18</v>
      </c>
      <c r="C6" s="1" t="s">
        <v>19</v>
      </c>
      <c r="D6" s="1">
        <v>499992.0</v>
      </c>
      <c r="E6" s="1">
        <v>79433.0</v>
      </c>
      <c r="F6" s="1" t="s">
        <v>20</v>
      </c>
      <c r="G6" s="1" t="str">
        <f>IFERROR(__xludf.DUMMYFUNCTION("GOOGLETRANSLATE(F6, ""de"", ""ar"")"),"يقع Drosselgasse في Rüdesheim وهو زقاق نصف خشبي يبلغ طوله 144 مترًا ومليئًا ببارات النبيذ. تمثل مهرجانات النبيذ الخاصة بهم مع الموسيقى الحية ثقافة النبيذ البهيجة في Rheingau.")</f>
        <v>يقع Drosselgasse في Rüdesheim وهو زقاق نصف خشبي يبلغ طوله 144 مترًا ومليئًا ببارات النبيذ. تمثل مهرجانات النبيذ الخاصة بهم مع الموسيقى الحية ثقافة النبيذ البهيجة في Rheingau.</v>
      </c>
    </row>
    <row r="7">
      <c r="A7" s="1">
        <v>6.0</v>
      </c>
      <c r="B7" s="1" t="s">
        <v>21</v>
      </c>
      <c r="C7" s="1" t="s">
        <v>22</v>
      </c>
      <c r="D7" s="1">
        <v>49804.0</v>
      </c>
      <c r="E7" s="1">
        <v>7967.0</v>
      </c>
      <c r="F7" s="1" t="s">
        <v>23</v>
      </c>
      <c r="G7" s="1" t="str">
        <f>IFERROR(__xludf.DUMMYFUNCTION("GOOGLETRANSLATE(F7, ""de"", ""ar"")"),"نشأت هيلين فيشر (*1984) في فولشتاين وأصبحت مغنية البوب ​​الألمانية الأكثر نجاحًا. نجاحات مثل ""Breathless Through the Night"" والعديد من الجوائز تشكل مسيرتها المهنية.")</f>
        <v>نشأت هيلين فيشر (*1984) في فولشتاين وأصبحت مغنية البوب ​​الألمانية الأكثر نجاحًا. نجاحات مثل "Breathless Through the Night" والعديد من الجوائز تشكل مسيرتها المهنية.</v>
      </c>
    </row>
    <row r="8">
      <c r="A8" s="1">
        <v>7.0</v>
      </c>
      <c r="B8" s="1" t="s">
        <v>24</v>
      </c>
      <c r="C8" s="1" t="s">
        <v>25</v>
      </c>
      <c r="D8" s="1">
        <v>501389.0</v>
      </c>
      <c r="E8" s="1">
        <v>77089.0</v>
      </c>
      <c r="F8" s="1" t="s">
        <v>26</v>
      </c>
      <c r="G8" s="1" t="str">
        <f>IFERROR(__xludf.DUMMYFUNCTION("GOOGLETRANSLATE(F8, ""de"", ""ar"")"),"صخرة لوريلي التي يبلغ ارتفاعها 132 مترًا على نهر الراين محاطة بالأسطورة: يقال إن حورية البحر استدرجت رجال القوارب إلى هلاكهم بغنائها. تعد وجهة النظر اليوم جزءًا من موقع التراث العالمي لليونسكو في وادي الراين الأوسط العلوي.")</f>
        <v>صخرة لوريلي التي يبلغ ارتفاعها 132 مترًا على نهر الراين محاطة بالأسطورة: يقال إن حورية البحر استدرجت رجال القوارب إلى هلاكهم بغنائها. تعد وجهة النظر اليوم جزءًا من موقع التراث العالمي لليونسكو في وادي الراين الأوسط العلوي.</v>
      </c>
    </row>
    <row r="9">
      <c r="A9" s="1">
        <v>8.0</v>
      </c>
      <c r="B9" s="1" t="s">
        <v>27</v>
      </c>
      <c r="C9" s="1" t="s">
        <v>28</v>
      </c>
      <c r="D9" s="1">
        <v>501172.0</v>
      </c>
      <c r="E9" s="1">
        <v>76071.0</v>
      </c>
      <c r="F9" s="1" t="s">
        <v>29</v>
      </c>
      <c r="G9" s="1" t="str">
        <f>IFERROR(__xludf.DUMMYFUNCTION("GOOGLETRANSLATE(F9, ""de"", ""ar"")"),"تنمو كروم ريسلينغ على المنحدرات الصخرية شديدة الانحدار على حلقة نهر الراين بالقرب من بوبارد. قام Bopparder Hamm بتوثيق تقليد زراعة النبيذ في منطقة الراين الأوسط لعدة قرون.")</f>
        <v>تنمو كروم ريسلينغ على المنحدرات الصخرية شديدة الانحدار على حلقة نهر الراين بالقرب من بوبارد. قام Bopparder Hamm بتوثيق تقليد زراعة النبيذ في منطقة الراين الأوسط لعدة قرون.</v>
      </c>
    </row>
    <row r="10">
      <c r="A10" s="1">
        <v>9.0</v>
      </c>
      <c r="B10" s="1" t="s">
        <v>30</v>
      </c>
      <c r="C10" s="1" t="s">
        <v>31</v>
      </c>
      <c r="D10" s="1">
        <v>503569.0</v>
      </c>
      <c r="E10" s="1">
        <v>75881.0</v>
      </c>
      <c r="F10" s="1" t="s">
        <v>32</v>
      </c>
      <c r="G10" s="1" t="str">
        <f>IFERROR(__xludf.DUMMYFUNCTION("GOOGLETRANSLATE(F10, ""de"", ""ar"")"),"يتدفق نهرا الموسيل والراين معًا في Deutsches Eck. يحيي تمثال الفروسية للقيصر فيلهلم الأول (1897) ذكرى تأسيس الإمبراطورية وأصبح رمزًا للوحدة الألمانية بعد عام 1945.")</f>
        <v>يتدفق نهرا الموسيل والراين معًا في Deutsches Eck. يحيي تمثال الفروسية للقيصر فيلهلم الأول (1897) ذكرى تأسيس الإمبراطورية وأصبح رمزًا للوحدة الألمانية بعد عام 1945.</v>
      </c>
    </row>
    <row r="11">
      <c r="A11" s="1">
        <v>10.0</v>
      </c>
      <c r="B11" s="1" t="s">
        <v>33</v>
      </c>
      <c r="C11" s="1" t="s">
        <v>34</v>
      </c>
      <c r="D11" s="1">
        <v>503341.0</v>
      </c>
      <c r="E11" s="1">
        <v>69476.0</v>
      </c>
      <c r="F11" s="1" t="s">
        <v>35</v>
      </c>
      <c r="G11" s="1" t="str">
        <f>IFERROR(__xludf.DUMMYFUNCTION("GOOGLETRANSLATE(F11, ""de"", ""ar"")"),"الطرق السريعة في ألمانيا معروفة بافتقارها إلى حدود السرعة. في Nordschleife في Nürburgring، يمكن للسائقين تجربة السرعات العالية بشكل قانوني - وهو نظير خاضع للتحكم للاندفاع على الطريق السريع.")</f>
        <v>الطرق السريعة في ألمانيا معروفة بافتقارها إلى حدود السرعة. في Nordschleife في Nürburgring، يمكن للسائقين تجربة السرعات العالية بشكل قانوني - وهو نظير خاضع للتحكم للاندفاع على الطريق السريع.</v>
      </c>
    </row>
    <row r="12">
      <c r="A12" s="1">
        <v>11.0</v>
      </c>
      <c r="B12" s="1" t="s">
        <v>36</v>
      </c>
      <c r="C12" s="1" t="s">
        <v>37</v>
      </c>
      <c r="D12" s="1">
        <v>507368.0</v>
      </c>
      <c r="E12" s="1">
        <v>7101.0</v>
      </c>
      <c r="F12" s="1" t="s">
        <v>38</v>
      </c>
      <c r="G12" s="1" t="str">
        <f>IFERROR(__xludf.DUMMYFUNCTION("GOOGLETRANSLATE(F12, ""de"", ""ar"")"),"ولد لودفيج فان بيتهوفن (1770-1827) في بون. ويحتفظ المنزل الذي ولد فيه بالآلات والمخطوطات الأصلية للملحن، الذي تستمر أعماله في تشكيل الموسيقى الكلاسيكية حتى اليوم.")</f>
        <v>ولد لودفيج فان بيتهوفن (1770-1827) في بون. ويحتفظ المنزل الذي ولد فيه بالآلات والمخطوطات الأصلية للملحن، الذي تستمر أعماله في تشكيل الموسيقى الكلاسيكية حتى اليوم.</v>
      </c>
    </row>
    <row r="13">
      <c r="A13" s="1">
        <v>12.0</v>
      </c>
      <c r="B13" s="1" t="s">
        <v>39</v>
      </c>
      <c r="C13" s="1" t="s">
        <v>40</v>
      </c>
      <c r="D13" s="1">
        <v>509403.0</v>
      </c>
      <c r="E13" s="1">
        <v>6957.0</v>
      </c>
      <c r="F13" s="1" t="s">
        <v>41</v>
      </c>
      <c r="G13" s="1" t="str">
        <f>IFERROR(__xludf.DUMMYFUNCTION("GOOGLETRANSLATE(F13, ""de"", ""ar"")"),"يحول كرنفال كولونيا، الذي تم تنظيمه منذ عام 1823، المدينة إلى مهرجان شعبي ملون من 11 نوفمبر إلى أربعاء الرماد. الحدث الأبرز هو عرض Rose Monday الذي يضم مئات الآلاف من المهرجين الذين يرتدون ملابس خاصة.")</f>
        <v>يحول كرنفال كولونيا، الذي تم تنظيمه منذ عام 1823، المدينة إلى مهرجان شعبي ملون من 11 نوفمبر إلى أربعاء الرماد. الحدث الأبرز هو عرض Rose Monday الذي يضم مئات الآلاف من المهرجين الذين يرتدون ملابس خاصة.</v>
      </c>
    </row>
    <row r="14">
      <c r="A14" s="1">
        <v>13.0</v>
      </c>
      <c r="B14" s="1" t="s">
        <v>42</v>
      </c>
      <c r="C14" s="1" t="s">
        <v>43</v>
      </c>
      <c r="D14" s="1">
        <v>509413.0</v>
      </c>
      <c r="E14" s="1">
        <v>69583.0</v>
      </c>
      <c r="F14" s="1" t="s">
        <v>44</v>
      </c>
      <c r="G14" s="1" t="str">
        <f>IFERROR(__xludf.DUMMYFUNCTION("GOOGLETRANSLATE(F14, ""de"", ""ar"")"),"كونراد أديناور (1876–1967) كان عمدة مدينة كولونيا وأول مستشار للجمهورية الاتحادية. يحكي منزله في روندورف عن التزامه بإعادة الإعمار وعلاقاته مع الغرب.")</f>
        <v>كونراد أديناور (1876–1967) كان عمدة مدينة كولونيا وأول مستشار للجمهورية الاتحادية. يحكي منزله في روندورف عن التزامه بإعادة الإعمار وعلاقاته مع الغرب.</v>
      </c>
    </row>
    <row r="15">
      <c r="A15" s="1">
        <v>14.0</v>
      </c>
      <c r="B15" s="1" t="s">
        <v>45</v>
      </c>
      <c r="C15" s="1" t="s">
        <v>46</v>
      </c>
      <c r="D15" s="1">
        <v>512275.0</v>
      </c>
      <c r="E15" s="1">
        <v>6937.0</v>
      </c>
      <c r="F15" s="1" t="s">
        <v>47</v>
      </c>
      <c r="G15" s="1" t="str">
        <f>IFERROR(__xludf.DUMMYFUNCTION("GOOGLETRANSLATE(F15, ""de"", ""ar"")"),"أحدثت جمجمة إنسان النياندرتال التي عثر عليها عام 1856 ثورة في فهم التطور البشري. يوضح متحف الإنسان البدائي تاريخ أقاربنا الأحفوريين.")</f>
        <v>أحدثت جمجمة إنسان النياندرتال التي عثر عليها عام 1856 ثورة في فهم التطور البشري. يوضح متحف الإنسان البدائي تاريخ أقاربنا الأحفوريين.</v>
      </c>
    </row>
    <row r="16">
      <c r="A16" s="1">
        <v>15.0</v>
      </c>
      <c r="B16" s="1" t="s">
        <v>48</v>
      </c>
      <c r="C16" s="1" t="s">
        <v>49</v>
      </c>
      <c r="D16" s="1">
        <v>512277.0</v>
      </c>
      <c r="E16" s="1">
        <v>67735.0</v>
      </c>
      <c r="F16" s="1" t="s">
        <v>50</v>
      </c>
      <c r="G16" s="1" t="str">
        <f>IFERROR(__xludf.DUMMYFUNCTION("GOOGLETRANSLATE(F16, ""de"", ""ar"")"),"تجمع مدينة دوسلدورف بين المدينة القديمة والأزياء وثقافة المعارض التجارية والهندسة المعمارية الحديثة في ميناء الإعلام. يوفر برج الراين إطلالة بانورامية على مدينة الراين ومشهد الفن والتسوق فيها.")</f>
        <v>تجمع مدينة دوسلدورف بين المدينة القديمة والأزياء وثقافة المعارض التجارية والهندسة المعمارية الحديثة في ميناء الإعلام. يوفر برج الراين إطلالة بانورامية على مدينة الراين ومشهد الفن والتسوق فيها.</v>
      </c>
    </row>
    <row r="17">
      <c r="A17" s="1">
        <v>16.0</v>
      </c>
      <c r="B17" s="1" t="s">
        <v>51</v>
      </c>
      <c r="C17" s="1" t="s">
        <v>52</v>
      </c>
      <c r="D17" s="1">
        <v>514344.0</v>
      </c>
      <c r="E17" s="1">
        <v>67573.0</v>
      </c>
      <c r="F17" s="1" t="s">
        <v>53</v>
      </c>
      <c r="G17" s="1" t="str">
        <f>IFERROR(__xludf.DUMMYFUNCTION("GOOGLETRANSLATE(F17, ""de"", ""ar"")"),"تم تحويل ميناء دويسبورغ الداخلي، الذي كان في السابق ميناء للتخزين والتجارة، إلى منطقة ثقافية ومكتبية. تظهر صوامع الحبوب والمتاحف التي تم ترميمها التغيير الهيكلي الناجح من الفولاذ إلى الثقافة.")</f>
        <v>تم تحويل ميناء دويسبورغ الداخلي، الذي كان في السابق ميناء للتخزين والتجارة، إلى منطقة ثقافية ومكتبية. تظهر صوامع الحبوب والمتاحف التي تم ترميمها التغيير الهيكلي الناجح من الفولاذ إلى الثقافة.</v>
      </c>
    </row>
    <row r="18">
      <c r="A18" s="1">
        <v>17.0</v>
      </c>
      <c r="B18" s="1" t="s">
        <v>54</v>
      </c>
      <c r="C18" s="1" t="s">
        <v>55</v>
      </c>
      <c r="D18" s="1">
        <v>514839.0</v>
      </c>
      <c r="E18" s="1">
        <v>70226.0</v>
      </c>
      <c r="F18" s="1" t="s">
        <v>56</v>
      </c>
      <c r="G18" s="1" t="str">
        <f>IFERROR(__xludf.DUMMYFUNCTION("GOOGLETRANSLATE(F18, ""de"", ""ar"")"),"منجم Zollverein المهجور، وهو مجموعة صناعية في باوهاوس، هو أحد مواقع التراث العالمي لليونسكو. المعارض والفعاليات تضفي الحيوية على تاريخ التعدين في منطقة الرور.")</f>
        <v>منجم Zollverein المهجور، وهو مجموعة صناعية في باوهاوس، هو أحد مواقع التراث العالمي لليونسكو. المعارض والفعاليات تضفي الحيوية على تاريخ التعدين في منطقة الرور.</v>
      </c>
    </row>
    <row r="19">
      <c r="A19" s="1">
        <v>18.0</v>
      </c>
      <c r="B19" s="1" t="s">
        <v>57</v>
      </c>
      <c r="C19" s="1" t="s">
        <v>58</v>
      </c>
      <c r="D19" s="1">
        <v>5149.0</v>
      </c>
      <c r="E19" s="1">
        <v>70375.0</v>
      </c>
      <c r="F19" s="1" t="s">
        <v>59</v>
      </c>
      <c r="G19" s="1" t="str">
        <f>IFERROR(__xludf.DUMMYFUNCTION("GOOGLETRANSLATE(F19, ""de"", ""ar"")"),"قام مصنع Zollverein لفحم الكوك بمعالجة الفحم وتحويله إلى فحم الكوك حتى عام 1993 وهو الآن جزء من التراث الثقافي العالمي. يستكشف الزوار الأبراج المتعرجة والأفران ومنصات المشاهدة للنصب التذكاري الصناعي المتميز.")</f>
        <v>قام مصنع Zollverein لفحم الكوك بمعالجة الفحم وتحويله إلى فحم الكوك حتى عام 1993 وهو الآن جزء من التراث الثقافي العالمي. يستكشف الزوار الأبراج المتعرجة والأفران ومنصات المشاهدة للنصب التذكاري الصناعي المتميز.</v>
      </c>
    </row>
    <row r="20">
      <c r="A20" s="1">
        <v>19.0</v>
      </c>
      <c r="B20" s="1" t="s">
        <v>60</v>
      </c>
      <c r="C20" s="1" t="s">
        <v>61</v>
      </c>
      <c r="D20" s="1">
        <v>514925.0</v>
      </c>
      <c r="E20" s="1">
        <v>74517.0</v>
      </c>
      <c r="F20" s="1" t="s">
        <v>62</v>
      </c>
      <c r="G20" s="1" t="str">
        <f>IFERROR(__xludf.DUMMYFUNCTION("GOOGLETRANSLATE(F20, ""de"", ""ar"")"),"يمثل ملعب بوروسيا دورتموند ذو ""الجدار الأصفر"" الأسطوري ثقافة مشجعي الدوري الألماني، والتي أثارت إعجاب الملايين منذ عام 1963.")</f>
        <v>يمثل ملعب بوروسيا دورتموند ذو "الجدار الأصفر" الأسطوري ثقافة مشجعي الدوري الألماني، والتي أثارت إعجاب الملايين منذ عام 1963.</v>
      </c>
    </row>
    <row r="21" ht="15.75" customHeight="1">
      <c r="A21" s="1">
        <v>20.0</v>
      </c>
      <c r="B21" s="1" t="s">
        <v>63</v>
      </c>
      <c r="C21" s="1" t="s">
        <v>64</v>
      </c>
      <c r="D21" s="1">
        <v>519628.0</v>
      </c>
      <c r="E21" s="1">
        <v>76254.0</v>
      </c>
      <c r="F21" s="1" t="s">
        <v>65</v>
      </c>
      <c r="G21" s="1" t="str">
        <f>IFERROR(__xludf.DUMMYFUNCTION("GOOGLETRANSLATE(F21, ""de"", ""ar"")"),"يجمع السوق الرئيسي في مونستر الذي يضم منازل جملونية وأروقة ومبنى البلدية وكنيسة لامبرتيكيرش بين الهندسة المعمارية وإعادة الإعمار في العصور الوسطى. الدراجات وتاريخ السلام يميزان منظر المدينة.")</f>
        <v>يجمع السوق الرئيسي في مونستر الذي يضم منازل جملونية وأروقة ومبنى البلدية وكنيسة لامبرتيكيرش بين الهندسة المعمارية وإعادة الإعمار في العصور الوسطى. الدراجات وتاريخ السلام يميزان منظر المدينة.</v>
      </c>
    </row>
    <row r="22" ht="15.75" customHeight="1">
      <c r="A22" s="1">
        <v>21.0</v>
      </c>
      <c r="B22" s="1" t="s">
        <v>66</v>
      </c>
      <c r="C22" s="1" t="s">
        <v>67</v>
      </c>
      <c r="D22" s="1">
        <v>520302.0</v>
      </c>
      <c r="E22" s="1">
        <v>85325.0</v>
      </c>
      <c r="F22" s="1" t="s">
        <v>68</v>
      </c>
      <c r="G22" s="1" t="str">
        <f>IFERROR(__xludf.DUMMYFUNCTION("GOOGLETRANSLATE(F22, ""de"", ""ar"")"),"أبراج سبارينبورغ التي تعود للقرون الوسطى تطل على بيليفيلد على حافة غابة تويتوبورغ، والتي اشتهرت تاريخياً بمعركة فاروس (9 م).")</f>
        <v>أبراج سبارينبورغ التي تعود للقرون الوسطى تطل على بيليفيلد على حافة غابة تويتوبورغ، والتي اشتهرت تاريخياً بمعركة فاروس (9 م).</v>
      </c>
    </row>
    <row r="23" ht="15.75" customHeight="1">
      <c r="A23" s="1">
        <v>22.0</v>
      </c>
      <c r="B23" s="1" t="s">
        <v>69</v>
      </c>
      <c r="C23" s="1" t="s">
        <v>70</v>
      </c>
      <c r="D23" s="1">
        <v>523759.0</v>
      </c>
      <c r="E23" s="1">
        <v>9732.0</v>
      </c>
      <c r="F23" s="1" t="s">
        <v>71</v>
      </c>
      <c r="G23" s="1" t="str">
        <f>IFERROR(__xludf.DUMMYFUNCTION("GOOGLETRANSLATE(F23, ""de"", ""ar"")"),"ترمز قاعة مدينة فيلهلمين الجديدة في هانوفر (1913) إلى إعادة إعمار المدينة، والتي أصبحت الآن موقعًا لمعرض تجاري ومدينة خضراء تضم حدائق هيرينهاوزن.")</f>
        <v>ترمز قاعة مدينة فيلهلمين الجديدة في هانوفر (1913) إلى إعادة إعمار المدينة، والتي أصبحت الآن موقعًا لمعرض تجاري ومدينة خضراء تضم حدائق هيرينهاوزن.</v>
      </c>
    </row>
    <row r="24" ht="15.75" customHeight="1">
      <c r="A24" s="1">
        <v>23.0</v>
      </c>
      <c r="B24" s="1" t="s">
        <v>72</v>
      </c>
      <c r="C24" s="1" t="s">
        <v>73</v>
      </c>
      <c r="D24" s="1">
        <v>523759.0</v>
      </c>
      <c r="E24" s="1">
        <v>9732.0</v>
      </c>
      <c r="F24" s="1" t="s">
        <v>74</v>
      </c>
      <c r="G24" s="1" t="str">
        <f>IFERROR(__xludf.DUMMYFUNCTION("GOOGLETRANSLATE(F24, ""de"", ""ar"")"),"ولدت المنظرة السياسية حنة أرندت (1906-1975) في هانوفر. تعتبر هانا أرندت بلاتز بمثابة تذكير بالديمقراطية والحرية والمسؤولية.")</f>
        <v>ولدت المنظرة السياسية حنة أرندت (1906-1975) في هانوفر. تعتبر هانا أرندت بلاتز بمثابة تذكير بالديمقراطية والحرية والمسؤولية.</v>
      </c>
    </row>
    <row r="25" ht="15.75" customHeight="1">
      <c r="A25" s="1">
        <v>24.0</v>
      </c>
      <c r="B25" s="1" t="s">
        <v>75</v>
      </c>
      <c r="C25" s="1" t="s">
        <v>76</v>
      </c>
      <c r="D25" s="1">
        <v>523728.0</v>
      </c>
      <c r="E25" s="1">
        <v>97441.0</v>
      </c>
      <c r="F25" s="1" t="s">
        <v>77</v>
      </c>
      <c r="G25" s="1" t="str">
        <f>IFERROR(__xludf.DUMMYFUNCTION("GOOGLETRANSLATE(F25, ""de"", ""ar"")"),"كان معرض اكسبو 2000 هو المعرض العالمي الأول في ألمانيا. تذكرنا الأجنحة والمباني الجديدة في Expo Park بالمفاهيم المبتكرة حول الأشخاص والطبيعة والتكنولوجيا.")</f>
        <v>كان معرض اكسبو 2000 هو المعرض العالمي الأول في ألمانيا. تذكرنا الأجنحة والمباني الجديدة في Expo Park بالمفاهيم المبتكرة حول الأشخاص والطبيعة والتكنولوجيا.</v>
      </c>
    </row>
    <row r="26" ht="15.75" customHeight="1">
      <c r="A26" s="1">
        <v>25.0</v>
      </c>
      <c r="B26" s="1" t="s">
        <v>78</v>
      </c>
      <c r="C26" s="1" t="s">
        <v>79</v>
      </c>
      <c r="D26" s="1">
        <v>523909.0</v>
      </c>
      <c r="E26" s="1">
        <v>97335.0</v>
      </c>
      <c r="F26" s="1" t="s">
        <v>80</v>
      </c>
      <c r="G26" s="1" t="str">
        <f>IFERROR(__xludf.DUMMYFUNCTION("GOOGLETRANSLATE(F26, ""de"", ""ar"")"),"يقع قصر Herrenhausen المعاد بناؤه في وسط حدائق Herrenhausen الباروكية الشهيرة مع ميزات مائية وحديقة جبلية نباتية.")</f>
        <v>يقع قصر Herrenhausen المعاد بناؤه في وسط حدائق Herrenhausen الباروكية الشهيرة مع ميزات مائية وحديقة جبلية نباتية.</v>
      </c>
    </row>
    <row r="27" ht="15.75" customHeight="1">
      <c r="A27" s="1">
        <v>26.0</v>
      </c>
      <c r="B27" s="1" t="s">
        <v>81</v>
      </c>
      <c r="C27" s="1" t="s">
        <v>81</v>
      </c>
      <c r="D27" s="1">
        <v>522689.0</v>
      </c>
      <c r="E27" s="1">
        <v>105268.0</v>
      </c>
      <c r="F27" s="1" t="s">
        <v>82</v>
      </c>
      <c r="G27" s="1" t="str">
        <f>IFERROR(__xludf.DUMMYFUNCTION("GOOGLETRANSLATE(F27, ""de"", ""ar"")"),"تم وضع واجهة قلعة جيلف، التي دمرت في الحرب، أمام مركز تسوق وثقافي حديث في عام 2007 - وهو مثال على التقاليد في مظهر جديد.")</f>
        <v>تم وضع واجهة قلعة جيلف، التي دمرت في الحرب، أمام مركز تسوق وثقافي حديث في عام 2007 - وهو مثال على التقاليد في مظهر جديد.</v>
      </c>
    </row>
    <row r="28" ht="15.75" customHeight="1">
      <c r="A28" s="1">
        <v>27.0</v>
      </c>
      <c r="B28" s="1" t="s">
        <v>83</v>
      </c>
      <c r="C28" s="1" t="s">
        <v>84</v>
      </c>
      <c r="D28" s="1">
        <v>524224.0</v>
      </c>
      <c r="E28" s="1">
        <v>107864.0</v>
      </c>
      <c r="F28" s="1" t="s">
        <v>85</v>
      </c>
      <c r="G28" s="1" t="str">
        <f>IFERROR(__xludf.DUMMYFUNCTION("GOOGLETRANSLATE(F28, ""de"", ""ar"")"),"يقوم مركز فاينو للعلوم، الذي صممته زها حديد، بعرض الظواهر الطبيعية بشكل تفاعلي. إنه يكمل تاريخ فولفسبورج أوتوستادت وفولكس فاجن بالخبرات العلمية.")</f>
        <v>يقوم مركز فاينو للعلوم، الذي صممته زها حديد، بعرض الظواهر الطبيعية بشكل تفاعلي. إنه يكمل تاريخ فولفسبورج أوتوستادت وفولكس فاجن بالخبرات العلمية.</v>
      </c>
    </row>
    <row r="29" ht="15.75" customHeight="1">
      <c r="A29" s="1">
        <v>28.0</v>
      </c>
      <c r="B29" s="1" t="s">
        <v>86</v>
      </c>
      <c r="C29" s="1" t="s">
        <v>87</v>
      </c>
      <c r="D29" s="1">
        <v>524225.0</v>
      </c>
      <c r="E29" s="1">
        <v>107864.0</v>
      </c>
      <c r="F29" s="1" t="s">
        <v>88</v>
      </c>
      <c r="G29" s="1" t="str">
        <f>IFERROR(__xludf.DUMMYFUNCTION("GOOGLETRANSLATE(F29, ""de"", ""ar"")"),"تأسس Autostadt في فولفسبورج عام 1938 كموقع لسيارة VW Beetle، وهو يروي تاريخ الشركة والسيارات من خلال الأجنحة والسيارات القديمة.")</f>
        <v>تأسس Autostadt في فولفسبورج عام 1938 كموقع لسيارة VW Beetle، وهو يروي تاريخ الشركة والسيارات من خلال الأجنحة والسيارات القديمة.</v>
      </c>
    </row>
    <row r="30" ht="15.75" customHeight="1">
      <c r="A30" s="1">
        <v>29.0</v>
      </c>
      <c r="B30" s="1" t="s">
        <v>89</v>
      </c>
      <c r="C30" s="1" t="s">
        <v>90</v>
      </c>
      <c r="D30" s="1">
        <v>519045.0</v>
      </c>
      <c r="E30" s="1">
        <v>104297.0</v>
      </c>
      <c r="F30" s="1" t="s">
        <v>91</v>
      </c>
      <c r="G30" s="1" t="str">
        <f>IFERROR(__xludf.DUMMYFUNCTION("GOOGLETRANSLATE(F30, ""de"", ""ar"")"),"تشكل مدينة جوسلار القديمة نصف الخشبية ومنجم خام راملسبيرج موقعًا مشتركًا للتراث العالمي لليونسكو: تلتقي ألف عام من تعدين خام هارتس مع مدينة إمبراطورية من العصور الوسطى.")</f>
        <v>تشكل مدينة جوسلار القديمة نصف الخشبية ومنجم خام راملسبيرج موقعًا مشتركًا للتراث العالمي لليونسكو: تلتقي ألف عام من تعدين خام هارتس مع مدينة إمبراطورية من العصور الوسطى.</v>
      </c>
    </row>
    <row r="31" ht="15.75" customHeight="1">
      <c r="A31" s="1">
        <v>30.0</v>
      </c>
      <c r="B31" s="1" t="s">
        <v>92</v>
      </c>
      <c r="C31" s="1" t="s">
        <v>93</v>
      </c>
      <c r="D31" s="1">
        <v>515403.0</v>
      </c>
      <c r="E31" s="1">
        <v>99357.0</v>
      </c>
      <c r="F31" s="1" t="s">
        <v>94</v>
      </c>
      <c r="G31" s="1" t="str">
        <f>IFERROR(__xludf.DUMMYFUNCTION("GOOGLETRANSLATE(F31, ""de"", ""ar"")"),"قامت جامعة غوتنغن بتشكيل المدينة منذ عام 1737. وتعتبر نافورة غانسيليسيل ""الفتاة الأكثر تقبيلاً في العالم"" لأن طلاب الدكتوراه المتخرجين حديثاً يقبلون التمثال.")</f>
        <v>قامت جامعة غوتنغن بتشكيل المدينة منذ عام 1737. وتعتبر نافورة غانسيليسيل "الفتاة الأكثر تقبيلاً في العالم" لأن طلاب الدكتوراه المتخرجين حديثاً يقبلون التمثال.</v>
      </c>
    </row>
    <row r="32" ht="15.75" customHeight="1">
      <c r="A32" s="1">
        <v>31.0</v>
      </c>
      <c r="B32" s="1" t="s">
        <v>95</v>
      </c>
      <c r="C32" s="1" t="s">
        <v>96</v>
      </c>
      <c r="D32" s="1">
        <v>513155.0</v>
      </c>
      <c r="E32" s="1">
        <v>94962.0</v>
      </c>
      <c r="F32" s="1" t="s">
        <v>97</v>
      </c>
      <c r="G32" s="1" t="str">
        <f>IFERROR(__xludf.DUMMYFUNCTION("GOOGLETRANSLATE(F32, ""de"", ""ar"")"),"قام جاكوب وويلهلم جريم بجمع حكاياتهما الخيالية المشهورة عالميًا في كاسل. يقدم عالم جريم المخطوطات والتراث اللغوي.")</f>
        <v>قام جاكوب وويلهلم جريم بجمع حكاياتهما الخيالية المشهورة عالميًا في كاسل. يقدم عالم جريم المخطوطات والتراث اللغوي.</v>
      </c>
    </row>
    <row r="33" ht="15.75" customHeight="1">
      <c r="A33" s="1">
        <v>32.0</v>
      </c>
      <c r="B33" s="1" t="s">
        <v>98</v>
      </c>
      <c r="C33" s="1" t="s">
        <v>99</v>
      </c>
      <c r="D33" s="1">
        <v>513118.0</v>
      </c>
      <c r="E33" s="1">
        <v>9497.0</v>
      </c>
      <c r="F33" s="1" t="s">
        <v>100</v>
      </c>
      <c r="G33" s="1" t="str">
        <f>IFERROR(__xludf.DUMMYFUNCTION("GOOGLETRANSLATE(F33, ""de"", ""ar"")"),"إن معرض دوكومنتا، الذي يقام كل خمس سنوات، يجعل من كاسل العاصمة العالمية للفن المعاصر ويحول المدينة إلى متحف ضخم في الهواء الطلق.")</f>
        <v>إن معرض دوكومنتا، الذي يقام كل خمس سنوات، يجعل من كاسل العاصمة العالمية للفن المعاصر ويحول المدينة إلى متحف ضخم في الهواء الطلق.</v>
      </c>
    </row>
    <row r="34" ht="15.75" customHeight="1">
      <c r="A34" s="1">
        <v>33.0</v>
      </c>
      <c r="B34" s="1" t="s">
        <v>101</v>
      </c>
      <c r="C34" s="1" t="s">
        <v>102</v>
      </c>
      <c r="D34" s="1">
        <v>513116.0</v>
      </c>
      <c r="E34" s="1">
        <v>94797.0</v>
      </c>
      <c r="F34" s="1" t="s">
        <v>103</v>
      </c>
      <c r="G34" s="1" t="str">
        <f>IFERROR(__xludf.DUMMYFUNCTION("GOOGLETRANSLATE(F34, ""de"", ""ar"")"),"يعد أكبر منتزه على جانب التل في أوروبا يضم تمثال هرقل ومعالم مائية باروكية أحد مواقع التراث العالمي لليونسكو وشهادة على فن حديقة Landgrave.")</f>
        <v>يعد أكبر منتزه على جانب التل في أوروبا يضم تمثال هرقل ومعالم مائية باروكية أحد مواقع التراث العالمي لليونسكو وشهادة على فن حديقة Landgrave.</v>
      </c>
    </row>
    <row r="35" ht="15.75" customHeight="1">
      <c r="A35" s="1">
        <v>34.0</v>
      </c>
      <c r="B35" s="1" t="s">
        <v>104</v>
      </c>
      <c r="C35" s="1" t="s">
        <v>105</v>
      </c>
      <c r="D35" s="1">
        <v>509711.0</v>
      </c>
      <c r="E35" s="1">
        <v>103277.0</v>
      </c>
      <c r="F35" s="1" t="s">
        <v>106</v>
      </c>
      <c r="G35" s="1" t="str">
        <f>IFERROR(__xludf.DUMMYFUNCTION("GOOGLETRANSLATE(F35, ""de"", ""ar"")"),"في عام 1817، طالب الطلاب في فارتبورغ بالوحدة الوطنية والحريات المدنية. وتشتهر القلعة أيضًا بترجمة لوثر للكتاب المقدس.")</f>
        <v>في عام 1817، طالب الطلاب في فارتبورغ بالوحدة الوطنية والحريات المدنية. وتشتهر القلعة أيضًا بترجمة لوثر للكتاب المقدس.</v>
      </c>
    </row>
    <row r="36" ht="15.75" customHeight="1">
      <c r="A36" s="1">
        <v>35.0</v>
      </c>
      <c r="B36" s="1" t="s">
        <v>107</v>
      </c>
      <c r="C36" s="1" t="s">
        <v>108</v>
      </c>
      <c r="D36" s="1">
        <v>509848.0</v>
      </c>
      <c r="E36" s="1">
        <v>110299.0</v>
      </c>
      <c r="F36" s="1" t="s">
        <v>109</v>
      </c>
      <c r="G36" s="1" t="str">
        <f>IFERROR(__xludf.DUMMYFUNCTION("GOOGLETRANSLATE(F36, ""de"", ""ar"")"),"تضم كاتدرائية إرفورت القوطية جرس جلوريوسا، وهو أكبر جرس يتأرجح بحرية في العصور الوسطى. تم ترسيم مارتن لوثر كاهنًا هنا عام 1507.")</f>
        <v>تضم كاتدرائية إرفورت القوطية جرس جلوريوسا، وهو أكبر جرس يتأرجح بحرية في العصور الوسطى. تم ترسيم مارتن لوثر كاهنًا هنا عام 1507.</v>
      </c>
    </row>
    <row r="37" ht="15.75" customHeight="1">
      <c r="A37" s="1">
        <v>36.0</v>
      </c>
      <c r="B37" s="1" t="s">
        <v>110</v>
      </c>
      <c r="C37" s="1" t="s">
        <v>111</v>
      </c>
      <c r="D37" s="1">
        <v>509795.0</v>
      </c>
      <c r="E37" s="1">
        <v>11329.0</v>
      </c>
      <c r="F37" s="1" t="s">
        <v>112</v>
      </c>
      <c r="G37" s="1" t="str">
        <f>IFERROR(__xludf.DUMMYFUNCTION("GOOGLETRANSLATE(F37, ""de"", ""ar"")"),"يعرض منزل غوته الغرف الأصلية ومجموعات الشاعر، الذي ساهم مع شيلر في تشكيل كلاسيكية فايمار.")</f>
        <v>يعرض منزل غوته الغرف الأصلية ومجموعات الشاعر، الذي ساهم مع شيلر في تشكيل كلاسيكية فايمار.</v>
      </c>
    </row>
    <row r="38" ht="15.75" customHeight="1">
      <c r="A38" s="1">
        <v>37.0</v>
      </c>
      <c r="B38" s="1" t="s">
        <v>113</v>
      </c>
      <c r="C38" s="1" t="s">
        <v>114</v>
      </c>
      <c r="D38" s="1">
        <v>509793.0</v>
      </c>
      <c r="E38" s="1">
        <v>113292.0</v>
      </c>
      <c r="F38" s="1" t="s">
        <v>115</v>
      </c>
      <c r="G38" s="1" t="str">
        <f>IFERROR(__xludf.DUMMYFUNCTION("GOOGLETRANSLATE(F38, ""de"", ""ar"")"),"بلغ انخفاض قيمة العملة في جمهورية فايمار ذروته في عام 1923: انفجرت الأسعار، وانهارت المدخرات - وهي صدمة في تاريخ الاقتصاد الألماني.")</f>
        <v>بلغ انخفاض قيمة العملة في جمهورية فايمار ذروته في عام 1923: انفجرت الأسعار، وانهارت المدخرات - وهي صدمة في تاريخ الاقتصاد الألماني.</v>
      </c>
    </row>
    <row r="39" ht="15.75" customHeight="1">
      <c r="A39" s="1">
        <v>38.0</v>
      </c>
      <c r="B39" s="1" t="s">
        <v>116</v>
      </c>
      <c r="C39" s="1" t="s">
        <v>117</v>
      </c>
      <c r="D39" s="1">
        <v>505451.0</v>
      </c>
      <c r="E39" s="1">
        <v>112147.0</v>
      </c>
      <c r="F39" s="1" t="s">
        <v>118</v>
      </c>
      <c r="G39" s="1" t="str">
        <f>IFERROR(__xludf.DUMMYFUNCTION("GOOGLETRANSLATE(F39, ""de"", ""ar"")"),"يعد مسار Rennsteig Kammweg الذي يبلغ طوله 170 كم أقدم مسار للمشي لمسافات طويلة في ألمانيا ويربط بين المناظر الطبيعية الثقافية والطبيعية في غابة تورينغيان.")</f>
        <v>يعد مسار Rennsteig Kammweg الذي يبلغ طوله 170 كم أقدم مسار للمشي لمسافات طويلة في ألمانيا ويربط بين المناظر الطبيعية الثقافية والطبيعية في غابة تورينغيان.</v>
      </c>
    </row>
    <row r="40" ht="15.75" customHeight="1">
      <c r="A40" s="1">
        <v>39.0</v>
      </c>
      <c r="B40" s="1" t="s">
        <v>119</v>
      </c>
      <c r="C40" s="1" t="s">
        <v>120</v>
      </c>
      <c r="D40" s="1">
        <v>505477.0</v>
      </c>
      <c r="E40" s="1">
        <v>111681.0</v>
      </c>
      <c r="F40" s="1" t="s">
        <v>121</v>
      </c>
      <c r="G40" s="1" t="str">
        <f>IFERROR(__xludf.DUMMYFUNCTION("GOOGLETRANSLATE(F40, ""de"", ""ar"")"),"تعتبر لاوشا مسقط رأس كرة شجرة عيد الميلاد الزجاجية. تعمل الشركات العائلية على تنمية فن نفخ الزجاج هنا منذ عام 1597.")</f>
        <v>تعتبر لاوشا مسقط رأس كرة شجرة عيد الميلاد الزجاجية. تعمل الشركات العائلية على تنمية فن نفخ الزجاج هنا منذ عام 1597.</v>
      </c>
    </row>
    <row r="41" ht="15.75" customHeight="1">
      <c r="A41" s="1">
        <v>40.0</v>
      </c>
      <c r="B41" s="1" t="s">
        <v>122</v>
      </c>
      <c r="C41" s="1" t="s">
        <v>123</v>
      </c>
      <c r="D41" s="1">
        <v>502599.0</v>
      </c>
      <c r="E41" s="1">
        <v>109644.0</v>
      </c>
      <c r="F41" s="1" t="s">
        <v>124</v>
      </c>
      <c r="G41" s="1" t="str">
        <f>IFERROR(__xludf.DUMMYFUNCTION("GOOGLETRANSLATE(F41, ""de"", ""ar"")"),"تضم قلعة فيستي كوبورغ، إحدى أكبر القلاع في ألمانيا، مجموعات فنية وكانت ملجأ لوثر في عام 1530.")</f>
        <v>تضم قلعة فيستي كوبورغ، إحدى أكبر القلاع في ألمانيا، مجموعات فنية وكانت ملجأ لوثر في عام 1530.</v>
      </c>
    </row>
    <row r="42" ht="15.75" customHeight="1">
      <c r="A42" s="1">
        <v>41.0</v>
      </c>
      <c r="B42" s="1" t="s">
        <v>125</v>
      </c>
      <c r="C42" s="1" t="s">
        <v>126</v>
      </c>
      <c r="D42" s="1">
        <v>501011.0</v>
      </c>
      <c r="E42" s="1">
        <v>11438.0</v>
      </c>
      <c r="F42" s="1" t="s">
        <v>127</v>
      </c>
      <c r="G42" s="1" t="str">
        <f>IFERROR(__xludf.DUMMYFUNCTION("GOOGLETRANSLATE(F42, ""de"", ""ar"")"),"يقدم Kulmbach تقاليد البيرة والإيسبوك القوية في متحف البيرة البافاري ويحتفل بأسبوع البيرة كل عام.")</f>
        <v>يقدم Kulmbach تقاليد البيرة والإيسبوك القوية في متحف البيرة البافاري ويحتفل بأسبوع البيرة كل عام.</v>
      </c>
    </row>
    <row r="43" ht="15.75" customHeight="1">
      <c r="A43" s="1">
        <v>42.0</v>
      </c>
      <c r="B43" s="1" t="s">
        <v>128</v>
      </c>
      <c r="C43" s="1" t="s">
        <v>129</v>
      </c>
      <c r="D43" s="1">
        <v>501011.0</v>
      </c>
      <c r="E43" s="1">
        <v>11438.0</v>
      </c>
      <c r="F43" s="1" t="s">
        <v>130</v>
      </c>
      <c r="G43" s="1" t="str">
        <f>IFERROR(__xludf.DUMMYFUNCTION("GOOGLETRANSLATE(F43, ""de"", ""ar"")"),"فن التخمير الفرانكوني مع قانون النقاء: تتمتع بيرة كولمباشر القوية بسمعة دولية وتشكل الهوية المحلية.")</f>
        <v>فن التخمير الفرانكوني مع قانون النقاء: تتمتع بيرة كولمباشر القوية بسمعة دولية وتشكل الهوية المحلية.</v>
      </c>
    </row>
    <row r="44" ht="15.75" customHeight="1">
      <c r="A44" s="1">
        <v>43.0</v>
      </c>
      <c r="B44" s="1" t="s">
        <v>131</v>
      </c>
      <c r="C44" s="1" t="s">
        <v>132</v>
      </c>
      <c r="D44" s="1">
        <v>499487.0</v>
      </c>
      <c r="E44" s="1">
        <v>11576.0</v>
      </c>
      <c r="F44" s="1" t="s">
        <v>133</v>
      </c>
      <c r="G44" s="1" t="str">
        <f>IFERROR(__xludf.DUMMYFUNCTION("GOOGLETRANSLATE(F44, ""de"", ""ar"")"),"دار الأوبرا Margravial (1748) هي مسرح باروكي محفوظ بالكامل وأحد مواقع التراث العالمي لليونسكو - جوهرة ثقافة المهرجانات الملكية.")</f>
        <v>دار الأوبرا Margravial (1748) هي مسرح باروكي محفوظ بالكامل وأحد مواقع التراث العالمي لليونسكو - جوهرة ثقافة المهرجانات الملكية.</v>
      </c>
    </row>
    <row r="45" ht="15.75" customHeight="1">
      <c r="A45" s="1">
        <v>44.0</v>
      </c>
      <c r="B45" s="1" t="s">
        <v>134</v>
      </c>
      <c r="C45" s="1" t="s">
        <v>135</v>
      </c>
      <c r="D45" s="1">
        <v>499451.0</v>
      </c>
      <c r="E45" s="1">
        <v>115908.0</v>
      </c>
      <c r="F45" s="1" t="s">
        <v>136</v>
      </c>
      <c r="G45" s="1" t="str">
        <f>IFERROR(__xludf.DUMMYFUNCTION("GOOGLETRANSLATE(F45, ""de"", ""ar"")"),"قاعة المهرجان، التي افتتحت عام 1876 وهي مصممة صوتيًا لمسرحيات فاغنر الموسيقية، تجذب عشاق الأوبرا من جميع أنحاء العالم إلى مهرجان بايرويت.")</f>
        <v>قاعة المهرجان، التي افتتحت عام 1876 وهي مصممة صوتيًا لمسرحيات فاغنر الموسيقية، تجذب عشاق الأوبرا من جميع أنحاء العالم إلى مهرجان بايرويت.</v>
      </c>
    </row>
    <row r="46" ht="15.75" customHeight="1">
      <c r="A46" s="1">
        <v>45.0</v>
      </c>
      <c r="B46" s="1" t="s">
        <v>137</v>
      </c>
      <c r="C46" s="1" t="s">
        <v>138</v>
      </c>
      <c r="D46" s="1">
        <v>497631.0</v>
      </c>
      <c r="E46" s="1">
        <v>114062.0</v>
      </c>
      <c r="F46" s="1" t="s">
        <v>139</v>
      </c>
      <c r="G46" s="1" t="str">
        <f>IFERROR(__xludf.DUMMYFUNCTION("GOOGLETRANSLATE(F46, ""de"", ""ar"")"),"أصبحت المناظر الطبيعية الكارستية الوعرة مع الكهوف الهوابط وأطلال القلعة منطقة شهيرة للمشي لمسافات طويلة والتسلق منذ القرن التاسع عشر.")</f>
        <v>أصبحت المناظر الطبيعية الكارستية الوعرة مع الكهوف الهوابط وأطلال القلعة منطقة شهيرة للمشي لمسافات طويلة والتسلق منذ القرن التاسع عشر.</v>
      </c>
    </row>
    <row r="47" ht="15.75" customHeight="1">
      <c r="A47" s="1">
        <v>46.0</v>
      </c>
      <c r="B47" s="1" t="s">
        <v>140</v>
      </c>
      <c r="C47" s="1" t="s">
        <v>141</v>
      </c>
      <c r="D47" s="1">
        <v>498917.0</v>
      </c>
      <c r="E47" s="1">
        <v>108852.0</v>
      </c>
      <c r="F47" s="1" t="s">
        <v>142</v>
      </c>
      <c r="G47" s="1" t="str">
        <f>IFERROR(__xludf.DUMMYFUNCTION("GOOGLETRANSLATE(F47, ""de"", ""ar"")"),"تعتبر مدينة بامبرج القديمة المكونة من سبعة تلال والتي تضم الكاتدرائية الرومانية ومبنى البلدية في ريجنيتز أكبر منظر للمدينة التاريخية غير المدمرة في ألمانيا.")</f>
        <v>تعتبر مدينة بامبرج القديمة المكونة من سبعة تلال والتي تضم الكاتدرائية الرومانية ومبنى البلدية في ريجنيتز أكبر منظر للمدينة التاريخية غير المدمرة في ألمانيا.</v>
      </c>
    </row>
    <row r="48" ht="15.75" customHeight="1">
      <c r="A48" s="1">
        <v>47.0</v>
      </c>
      <c r="B48" s="1" t="s">
        <v>143</v>
      </c>
      <c r="C48" s="1" t="s">
        <v>144</v>
      </c>
      <c r="D48" s="1">
        <v>494542.0</v>
      </c>
      <c r="E48" s="1">
        <v>110773.0</v>
      </c>
      <c r="F48" s="1" t="s">
        <v>145</v>
      </c>
      <c r="G48" s="1" t="str">
        <f>IFERROR(__xludf.DUMMYFUNCTION("GOOGLETRANSLATE(F48, ""de"", ""ar"")"),"يجذب سوق نورمبرغ كريستكيندلماركت، الذي تم استخدامه منذ القرن السادس عشر، مليوني زائر كل عام بخبز الزنجبيل والألعاب الخشبية.")</f>
        <v>يجذب سوق نورمبرغ كريستكيندلماركت، الذي تم استخدامه منذ القرن السادس عشر، مليوني زائر كل عام بخبز الزنجبيل والألعاب الخشبية.</v>
      </c>
    </row>
    <row r="49" ht="15.75" customHeight="1">
      <c r="A49" s="1">
        <v>48.0</v>
      </c>
      <c r="B49" s="1" t="s">
        <v>146</v>
      </c>
      <c r="C49" s="1" t="s">
        <v>147</v>
      </c>
      <c r="D49" s="1">
        <v>494528.0</v>
      </c>
      <c r="E49" s="1">
        <v>11078.0</v>
      </c>
      <c r="F49" s="1" t="s">
        <v>148</v>
      </c>
      <c r="G49" s="1" t="str">
        <f>IFERROR(__xludf.DUMMYFUNCTION("GOOGLETRANSLATE(F49, ""de"", ""ar"")"),"تُحيي محاكمات نورمبرغ التذكارية في الغرفة 600 ذكرى التحقيق القانوني في الجرائم النازية وولادة القانون الجنائي الدولي.")</f>
        <v>تُحيي محاكمات نورمبرغ التذكارية في الغرفة 600 ذكرى التحقيق القانوني في الجرائم النازية وولادة القانون الجنائي الدولي.</v>
      </c>
    </row>
    <row r="50" ht="15.75" customHeight="1">
      <c r="A50" s="1">
        <v>49.0</v>
      </c>
      <c r="B50" s="1" t="s">
        <v>149</v>
      </c>
      <c r="C50" s="1" t="s">
        <v>150</v>
      </c>
      <c r="D50" s="1">
        <v>48765.0</v>
      </c>
      <c r="E50" s="1">
        <v>114257.0</v>
      </c>
      <c r="F50" s="1" t="s">
        <v>151</v>
      </c>
      <c r="G50" s="1" t="str">
        <f>IFERROR(__xludf.DUMMYFUNCTION("GOOGLETRANSLATE(F50, ""de"", ""ar"")"),"في عام 1516، أعلن الدوقات البافاريون قانون النقاء في إنغولشتات: لا يجوز أن تتكون البيرة إلا من الماء والشعير والجنجل - وهو أقدم قانون غذائي في العالم.")</f>
        <v>في عام 1516، أعلن الدوقات البافاريون قانون النقاء في إنغولشتات: لا يجوز أن تتكون البيرة إلا من الماء والشعير والجنجل - وهو أقدم قانون غذائي في العالم.</v>
      </c>
    </row>
    <row r="51" ht="15.75" customHeight="1">
      <c r="A51" s="1">
        <v>50.0</v>
      </c>
      <c r="B51" s="1" t="s">
        <v>152</v>
      </c>
      <c r="C51" s="1" t="s">
        <v>153</v>
      </c>
      <c r="D51" s="1">
        <v>482188.0</v>
      </c>
      <c r="E51" s="1">
        <v>116247.0</v>
      </c>
      <c r="F51" s="1" t="s">
        <v>154</v>
      </c>
      <c r="G51" s="1" t="str">
        <f>IFERROR(__xludf.DUMMYFUNCTION("GOOGLETRANSLATE(F51, ""de"", ""ar"")"),"ملعب أليانز أرينا، الذي تم افتتاحه في عام 2005 بغلاف خارجي شفاف، هو موطن نادي بايرن ميونخ وهو أحد أكثر الملاعب لفتًا للانتباه في أوروبا.")</f>
        <v>ملعب أليانز أرينا، الذي تم افتتاحه في عام 2005 بغلاف خارجي شفاف، هو موطن نادي بايرن ميونخ وهو أحد أكثر الملاعب لفتًا للانتباه في أوروبا.</v>
      </c>
    </row>
    <row r="52" ht="15.75" customHeight="1">
      <c r="A52" s="1">
        <v>51.0</v>
      </c>
      <c r="B52" s="1" t="s">
        <v>155</v>
      </c>
      <c r="C52" s="1" t="s">
        <v>156</v>
      </c>
      <c r="D52" s="1">
        <v>48174.0</v>
      </c>
      <c r="E52" s="1">
        <v>11546.0</v>
      </c>
      <c r="F52" s="1" t="s">
        <v>157</v>
      </c>
      <c r="G52" s="1" t="str">
        <f>IFERROR(__xludf.DUMMYFUNCTION("GOOGLETRANSLATE(F52, ""de"", ""ar"")"),"وضعت ألعاب 1972 معايير جديدة من خلال هندسة سقف الخيمة. لقد شكل الهجوم على الفريق الإسرائيلي ذاكرة المنطقة الحديثة.")</f>
        <v>وضعت ألعاب 1972 معايير جديدة من خلال هندسة سقف الخيمة. لقد شكل الهجوم على الفريق الإسرائيلي ذاكرة المنطقة الحديثة.</v>
      </c>
    </row>
    <row r="53" ht="15.75" customHeight="1">
      <c r="A53" s="1">
        <v>52.0</v>
      </c>
      <c r="B53" s="1" t="s">
        <v>158</v>
      </c>
      <c r="C53" s="1" t="s">
        <v>159</v>
      </c>
      <c r="D53" s="1">
        <v>4815.0</v>
      </c>
      <c r="E53" s="1">
        <v>1158.0</v>
      </c>
      <c r="F53" s="1" t="s">
        <v>160</v>
      </c>
      <c r="G53" s="1" t="str">
        <f>IFERROR(__xludf.DUMMYFUNCTION("GOOGLETRANSLATE(F53, ""de"", ""ar"")"),"قامت صوفي شول بتوزيع منشورات ""الوردة البيضاء"" في LMU في عام 1943. واليوم، تذكرنا اللوحات التذكارية بمقاومتهم الشجاعة ضد النظام النازي.")</f>
        <v>قامت صوفي شول بتوزيع منشورات "الوردة البيضاء" في LMU في عام 1943. واليوم، تذكرنا اللوحات التذكارية بمقاومتهم الشجاعة ضد النظام النازي.</v>
      </c>
    </row>
    <row r="54" ht="15.75" customHeight="1">
      <c r="A54" s="1">
        <v>53.0</v>
      </c>
      <c r="B54" s="1" t="s">
        <v>161</v>
      </c>
      <c r="C54" s="1" t="s">
        <v>162</v>
      </c>
      <c r="D54" s="1">
        <v>481312.0</v>
      </c>
      <c r="E54" s="1">
        <v>115497.0</v>
      </c>
      <c r="F54" s="1" t="s">
        <v>163</v>
      </c>
      <c r="G54" s="1" t="str">
        <f>IFERROR(__xludf.DUMMYFUNCTION("GOOGLETRANSLATE(F54, ""de"", ""ar"")"),"تحتفل ميونيخ بمهرجان أكتوبر منذ عام 1810. وتجذب خيام البيرة الضخمة وألعاب الركوب والأزياء التقليدية ملايين الزوار كل عام.")</f>
        <v>تحتفل ميونيخ بمهرجان أكتوبر منذ عام 1810. وتجذب خيام البيرة الضخمة وألعاب الركوب والأزياء التقليدية ملايين الزوار كل عام.</v>
      </c>
    </row>
    <row r="55" ht="15.75" customHeight="1">
      <c r="A55" s="1">
        <v>54.0</v>
      </c>
      <c r="B55" s="1" t="s">
        <v>164</v>
      </c>
      <c r="C55" s="1" t="s">
        <v>165</v>
      </c>
      <c r="D55" s="1">
        <v>475576.0</v>
      </c>
      <c r="E55" s="1">
        <v>107498.0</v>
      </c>
      <c r="F55" s="1" t="s">
        <v>166</v>
      </c>
      <c r="G55" s="1" t="str">
        <f>IFERROR(__xludf.DUMMYFUNCTION("GOOGLETRANSLATE(F55, ""de"", ""ar"")"),"تجسد قلعة الملك لودفيج الخيالية (من عام 1869) التاريخ الرومانسي في محيط جبال الألب وكانت بمثابة نموذج لقلعة ديزني.")</f>
        <v>تجسد قلعة الملك لودفيج الخيالية (من عام 1869) التاريخ الرومانسي في محيط جبال الألب وكانت بمثابة نموذج لقلعة ديزني.</v>
      </c>
    </row>
    <row r="56" ht="15.75" customHeight="1">
      <c r="A56" s="1">
        <v>55.0</v>
      </c>
      <c r="B56" s="1" t="s">
        <v>167</v>
      </c>
      <c r="C56" s="1" t="s">
        <v>168</v>
      </c>
      <c r="D56" s="1">
        <v>476514.0</v>
      </c>
      <c r="E56" s="1">
        <v>9478.0</v>
      </c>
      <c r="F56" s="1" t="s">
        <v>169</v>
      </c>
      <c r="G56" s="1" t="str">
        <f>IFERROR(__xludf.DUMMYFUNCTION("GOOGLETRANSLATE(F56, ""de"", ""ar"")"),"أقلعت أول منطاد زيبلين في العالم من هنا في عام 1900. ويعرض المتحف معروضات من عصر المنطاد، بما في ذلك قسم من ""هيندنبورغ"".")</f>
        <v>أقلعت أول منطاد زيبلين في العالم من هنا في عام 1900. ويعرض المتحف معروضات من عصر المنطاد، بما في ذلك قسم من "هيندنبورغ".</v>
      </c>
    </row>
    <row r="57" ht="15.75" customHeight="1">
      <c r="A57" s="1">
        <v>56.0</v>
      </c>
      <c r="B57" s="1" t="s">
        <v>170</v>
      </c>
      <c r="C57" s="1" t="s">
        <v>171</v>
      </c>
      <c r="D57" s="1">
        <v>484011.0</v>
      </c>
      <c r="E57" s="1">
        <v>99876.0</v>
      </c>
      <c r="F57" s="1" t="s">
        <v>172</v>
      </c>
      <c r="G57" s="1" t="str">
        <f>IFERROR(__xludf.DUMMYFUNCTION("GOOGLETRANSLATE(F57, ""de"", ""ar"")"),"أحدث ألبرت أينشتاين، المولود في أولم عام 1879، ثورة في الفيزياء من خلال النسبية ونظرية الكم. النافورة تخلد ذكرى العبقرية.")</f>
        <v>أحدث ألبرت أينشتاين، المولود في أولم عام 1879، ثورة في الفيزياء من خلال النسبية ونظرية الكم. النافورة تخلد ذكرى العبقرية.</v>
      </c>
    </row>
    <row r="58" ht="15.75" customHeight="1">
      <c r="A58" s="1">
        <v>57.0</v>
      </c>
      <c r="B58" s="1" t="s">
        <v>173</v>
      </c>
      <c r="C58" s="1" t="s">
        <v>174</v>
      </c>
      <c r="D58" s="1">
        <v>487904.0</v>
      </c>
      <c r="E58" s="1">
        <v>92183.0</v>
      </c>
      <c r="F58" s="1" t="s">
        <v>175</v>
      </c>
      <c r="G58" s="1" t="str">
        <f>IFERROR(__xludf.DUMMYFUNCTION("GOOGLETRANSLATE(F58, ""de"", ""ar"")"),"يعد Cannstatter Volksfest (منذ عام 1818) ثاني أكبر مهرجان ألماني للبيرة والشعبية بعد مهرجان أكتوبر ويجذب حوالي أربعة ملايين ضيف كل عام.")</f>
        <v>يعد Cannstatter Volksfest (منذ عام 1818) ثاني أكبر مهرجان ألماني للبيرة والشعبية بعد مهرجان أكتوبر ويجذب حوالي أربعة ملايين ضيف كل عام.</v>
      </c>
    </row>
    <row r="59" ht="15.75" customHeight="1">
      <c r="A59" s="1">
        <v>58.0</v>
      </c>
      <c r="B59" s="1" t="s">
        <v>176</v>
      </c>
      <c r="C59" s="1" t="s">
        <v>176</v>
      </c>
      <c r="D59" s="1">
        <v>494106.0</v>
      </c>
      <c r="E59" s="1">
        <v>87151.0</v>
      </c>
      <c r="F59" s="1" t="s">
        <v>177</v>
      </c>
      <c r="G59" s="1" t="str">
        <f>IFERROR(__xludf.DUMMYFUNCTION("GOOGLETRANSLATE(F59, ""de"", ""ar"")"),"وكانت أطلال القلعة الرومانسية فوق نهر نيكار هي مقر إقامة الناخبين. لقد ألهمت واجهات عصر النهضة والبرميل العظيم غوته بالفعل.")</f>
        <v>وكانت أطلال القلعة الرومانسية فوق نهر نيكار هي مقر إقامة الناخبين. لقد ألهمت واجهات عصر النهضة والبرميل العظيم غوته بالفعل.</v>
      </c>
    </row>
    <row r="60" ht="15.75" customHeight="1">
      <c r="A60" s="1">
        <v>59.0</v>
      </c>
      <c r="B60" s="1" t="s">
        <v>178</v>
      </c>
      <c r="C60" s="1" t="s">
        <v>179</v>
      </c>
      <c r="D60" s="1">
        <v>494875.0</v>
      </c>
      <c r="E60" s="1">
        <v>8466.0</v>
      </c>
      <c r="F60" s="1" t="s">
        <v>180</v>
      </c>
      <c r="G60" s="1" t="str">
        <f>IFERROR(__xludf.DUMMYFUNCTION("GOOGLETRANSLATE(F60, ""de"", ""ar"")"),"قام كارل بنز ببناء أول سيارة عملية في مانهايم في عام 1885/86. أثبتت أول رحلة طويلة قامت بها بيرثا بنز ملاءمتها للاستخدام اليومي.")</f>
        <v>قام كارل بنز ببناء أول سيارة عملية في مانهايم في عام 1885/86. أثبتت أول رحلة طويلة قامت بها بيرثا بنز ملاءمتها للاستخدام اليومي.</v>
      </c>
    </row>
    <row r="61" ht="15.75" customHeight="1">
      <c r="A61" s="1">
        <v>60.0</v>
      </c>
      <c r="B61" s="1" t="s">
        <v>181</v>
      </c>
      <c r="C61" s="1" t="s">
        <v>182</v>
      </c>
      <c r="D61" s="1">
        <v>497913.0</v>
      </c>
      <c r="E61" s="1">
        <v>99534.0</v>
      </c>
      <c r="F61" s="1" t="s">
        <v>183</v>
      </c>
      <c r="G61" s="1" t="str">
        <f>IFERROR(__xludf.DUMMYFUNCTION("GOOGLETRANSLATE(F61, ""de"", ""ar"")"),"يعتبر سكن فورتسبورغ (1720-1744) مع لوحة تيبولو الجدارية وقاعة المرايا عملاً رئيسياً من أعمال الباروك في جنوب ألمانيا وهو أحد مواقع التراث العالمي لليونسكو.")</f>
        <v>يعتبر سكن فورتسبورغ (1720-1744) مع لوحة تيبولو الجدارية وقاعة المرايا عملاً رئيسياً من أعمال الباروك في جنوب ألمانيا وهو أحد مواقع التراث العالمي لليونسكو.</v>
      </c>
    </row>
    <row r="62" ht="15.75" customHeight="1">
      <c r="A62" s="1">
        <v>61.0</v>
      </c>
      <c r="B62" s="1" t="s">
        <v>184</v>
      </c>
      <c r="C62" s="1" t="s">
        <v>185</v>
      </c>
      <c r="D62" s="1">
        <v>481275.0</v>
      </c>
      <c r="E62" s="1">
        <v>82364.0</v>
      </c>
      <c r="F62" s="1" t="s">
        <v>186</v>
      </c>
      <c r="G62" s="1" t="str">
        <f>IFERROR(__xludf.DUMMYFUNCTION("GOOGLETRANSLATE(F62, ""de"", ""ar"")"),"تم صنع كعكة الكرز والشوكولاتة والكريمة مع الكيرش في الغابة السوداء. ويقدمهم مقهى Schäfer وفقًا لوصفة تاريخية.")</f>
        <v>تم صنع كعكة الكرز والشوكولاتة والكريمة مع الكيرش في الغابة السوداء. ويقدمهم مقهى Schäfer وفقًا لوصفة تاريخية.</v>
      </c>
    </row>
    <row r="63" ht="15.75" customHeight="1">
      <c r="A63" s="1">
        <v>62.0</v>
      </c>
      <c r="B63" s="1" t="s">
        <v>187</v>
      </c>
      <c r="C63" s="1" t="s">
        <v>188</v>
      </c>
      <c r="D63" s="1">
        <v>507753.0</v>
      </c>
      <c r="E63" s="1">
        <v>60839.0</v>
      </c>
      <c r="F63" s="1" t="s">
        <v>189</v>
      </c>
      <c r="G63" s="1" t="str">
        <f>IFERROR(__xludf.DUMMYFUNCTION("GOOGLETRANSLATE(F63, ""de"", ""ar"")"),"تعد كنيسة كارل بالاتينات (القرن الثامن/التاسع) والجوقة القوطية أول موقع للتراث العالمي لليونسكو في ألمانيا. تم تتويج أكثر من 30 ملكًا ألمانيًا هنا.")</f>
        <v>تعد كنيسة كارل بالاتينات (القرن الثامن/التاسع) والجوقة القوطية أول موقع للتراث العالمي لليونسكو في ألمانيا. تم تتويج أكثر من 30 ملكًا ألمانيًا هنا.</v>
      </c>
    </row>
    <row r="64" ht="15.75" customHeight="1">
      <c r="A64" s="1">
        <v>63.0</v>
      </c>
      <c r="B64" s="1" t="s">
        <v>190</v>
      </c>
      <c r="C64" s="1" t="s">
        <v>191</v>
      </c>
      <c r="D64" s="1">
        <v>50776.0</v>
      </c>
      <c r="E64" s="1">
        <v>60839.0</v>
      </c>
      <c r="F64" s="1" t="s">
        <v>192</v>
      </c>
      <c r="G64" s="1" t="str">
        <f>IFERROR(__xludf.DUMMYFUNCTION("GOOGLETRANSLATE(F64, ""de"", ""ar"")"),"يعد كنز كاتدرائية آخن مع ضريح شارلمان وضريح مريم من أهم كنوز الكنيسة في أوروبا ويكمل كاتدرائية التراث العالمي.")</f>
        <v>يعد كنز كاتدرائية آخن مع ضريح شارلمان وضريح مريم من أهم كنوز الكنيسة في أوروبا ويكمل كاتدرائية التراث العالمي.</v>
      </c>
    </row>
    <row r="65" ht="15.75" customHeight="1">
      <c r="A65" s="1">
        <v>64.0</v>
      </c>
      <c r="B65" s="1" t="s">
        <v>193</v>
      </c>
      <c r="C65" s="1" t="s">
        <v>194</v>
      </c>
      <c r="D65" s="1">
        <v>515281.0</v>
      </c>
      <c r="E65" s="1">
        <v>115487.0</v>
      </c>
      <c r="F65" s="1" t="s">
        <v>195</v>
      </c>
      <c r="G65" s="1" t="str">
        <f>IFERROR(__xludf.DUMMYFUNCTION("GOOGLETRANSLATE(F65, ""de"", ""ar"")"),"تعد بيوت ميلاد ووفاة لوثر في آيسليبن أحد مواقع التراث العالمي لليونسكو وتوثيق حياة وتأثير المصلح.")</f>
        <v>تعد بيوت ميلاد ووفاة لوثر في آيسليبن أحد مواقع التراث العالمي لليونسكو وتوثيق حياة وتأثير المصلح.</v>
      </c>
    </row>
    <row r="66" ht="15.75" customHeight="1">
      <c r="A66" s="1">
        <v>65.0</v>
      </c>
      <c r="B66" s="1" t="s">
        <v>196</v>
      </c>
      <c r="C66" s="1" t="s">
        <v>197</v>
      </c>
      <c r="D66" s="1">
        <v>518349.0</v>
      </c>
      <c r="E66" s="1">
        <v>122424.0</v>
      </c>
      <c r="F66" s="1" t="s">
        <v>198</v>
      </c>
      <c r="G66" s="1" t="str">
        <f>IFERROR(__xludf.DUMMYFUNCTION("GOOGLETRANSLATE(F66, ""de"", ""ar"")"),"تمثل منازل غروبيوس الرئيسية (1925/26) لمعلمي باوهاوس مثل كاندينسكي عمارة باوهاوس الوظيفية في حالتها الأصلية.")</f>
        <v>تمثل منازل غروبيوس الرئيسية (1925/26) لمعلمي باوهاوس مثل كاندينسكي عمارة باوهاوس الوظيفية في حالتها الأصلية.</v>
      </c>
    </row>
    <row r="67" ht="15.75" customHeight="1">
      <c r="A67" s="1">
        <v>66.0</v>
      </c>
      <c r="B67" s="1" t="s">
        <v>199</v>
      </c>
      <c r="C67" s="1" t="s">
        <v>200</v>
      </c>
      <c r="D67" s="1">
        <v>518367.0</v>
      </c>
      <c r="E67" s="1">
        <v>122428.0</v>
      </c>
      <c r="F67" s="1" t="s">
        <v>201</v>
      </c>
      <c r="G67" s="1" t="str">
        <f>IFERROR(__xludf.DUMMYFUNCTION("GOOGLETRANSLATE(F67, ""de"", ""ar"")"),"يمثل مبنى باوهاوس (1926) ذو الواجهة الزجاجية مزيجًا من الفن والحرفية والصناعة - وهو علامة بارزة في الحداثة.")</f>
        <v>يمثل مبنى باوهاوس (1926) ذو الواجهة الزجاجية مزيجًا من الفن والحرفية والصناعة - وهو علامة بارزة في الحداثة.</v>
      </c>
    </row>
    <row r="68" ht="15.75" customHeight="1">
      <c r="A68" s="1">
        <v>67.0</v>
      </c>
      <c r="B68" s="1" t="s">
        <v>202</v>
      </c>
      <c r="C68" s="1" t="s">
        <v>203</v>
      </c>
      <c r="D68" s="1">
        <v>518661.0</v>
      </c>
      <c r="E68" s="1">
        <v>126477.0</v>
      </c>
      <c r="F68" s="1" t="s">
        <v>204</v>
      </c>
      <c r="G68" s="1" t="str">
        <f>IFERROR(__xludf.DUMMYFUNCTION("GOOGLETRANSLATE(F68, ""de"", ""ar"")"),"أثارت أطروحات لوثر الـ 95 من عام 1517 في كنيسة القلعة حركة الإصلاح وغيرت الكنيسة والمجتمع بشكل دائم.")</f>
        <v>أثارت أطروحات لوثر الـ 95 من عام 1517 في كنيسة القلعة حركة الإصلاح وغيرت الكنيسة والمجتمع بشكل دائم.</v>
      </c>
    </row>
    <row r="69" ht="15.75" customHeight="1">
      <c r="A69" s="1">
        <v>68.0</v>
      </c>
      <c r="B69" s="1" t="s">
        <v>205</v>
      </c>
      <c r="C69" s="1" t="s">
        <v>206</v>
      </c>
      <c r="D69" s="1">
        <v>513393.0</v>
      </c>
      <c r="E69" s="1">
        <v>123747.0</v>
      </c>
      <c r="F69" s="1" t="s">
        <v>207</v>
      </c>
      <c r="G69" s="1" t="str">
        <f>IFERROR(__xludf.DUMMYFUNCTION("GOOGLETRANSLATE(F69, ""de"", ""ar"")"),"تجلب أيام الجاز في لايبزيغ (منذ عام 1976) عظماء موسيقى الجاز العالميين إلى الأماكن التاريخية مثل مترو الأنفاق Moritzbastei.")</f>
        <v>تجلب أيام الجاز في لايبزيغ (منذ عام 1976) عظماء موسيقى الجاز العالميين إلى الأماكن التاريخية مثل مترو الأنفاق Moritzbastei.</v>
      </c>
    </row>
    <row r="70" ht="15.75" customHeight="1">
      <c r="A70" s="1">
        <v>69.0</v>
      </c>
      <c r="B70" s="1" t="s">
        <v>208</v>
      </c>
      <c r="C70" s="1" t="s">
        <v>209</v>
      </c>
      <c r="D70" s="1">
        <v>513388.0</v>
      </c>
      <c r="E70" s="1">
        <v>123723.0</v>
      </c>
      <c r="F70" s="1" t="s">
        <v>210</v>
      </c>
      <c r="G70" s="1" t="str">
        <f>IFERROR(__xludf.DUMMYFUNCTION("GOOGLETRANSLATE(F70, ""de"", ""ar"")"),"عمل باخ توماسكانتور في لايبزيغ منذ عام 1723. ويعرض المتحف مخطوطات وأدوات الملحن الباروكي.")</f>
        <v>عمل باخ توماسكانتور في لايبزيغ منذ عام 1723. ويعرض المتحف مخطوطات وأدوات الملحن الباروكي.</v>
      </c>
    </row>
    <row r="71" ht="15.75" customHeight="1">
      <c r="A71" s="1">
        <v>70.0</v>
      </c>
      <c r="B71" s="1" t="s">
        <v>211</v>
      </c>
      <c r="C71" s="1" t="s">
        <v>212</v>
      </c>
      <c r="D71" s="1">
        <v>513128.0</v>
      </c>
      <c r="E71" s="1">
        <v>124134.0</v>
      </c>
      <c r="F71" s="1" t="s">
        <v>213</v>
      </c>
      <c r="G71" s="1" t="str">
        <f>IFERROR(__xludf.DUMMYFUNCTION("GOOGLETRANSLATE(F71, ""de"", ""ar"")"),"يحيي النصب التذكاري لمعركة الأمم الذي يبلغ ارتفاعه 91 مترًا ذكرى هزيمة نابليون في أعظم معركة قبل الحرب العالمية الأولى.")</f>
        <v>يحيي النصب التذكاري لمعركة الأمم الذي يبلغ ارتفاعه 91 مترًا ذكرى هزيمة نابليون في أعظم معركة قبل الحرب العالمية الأولى.</v>
      </c>
    </row>
    <row r="72" ht="15.75" customHeight="1">
      <c r="A72" s="1">
        <v>71.0</v>
      </c>
      <c r="B72" s="1" t="s">
        <v>214</v>
      </c>
      <c r="C72" s="1" t="s">
        <v>215</v>
      </c>
      <c r="D72" s="1">
        <v>511642.0</v>
      </c>
      <c r="E72" s="1">
        <v>134827.0</v>
      </c>
      <c r="F72" s="1" t="s">
        <v>216</v>
      </c>
      <c r="G72" s="1" t="str">
        <f>IFERROR(__xludf.DUMMYFUNCTION("GOOGLETRANSLATE(F72, ""de"", ""ar"")"),"تم إنشاء أول خزف أوروبي صلب في مايسن عام 1710. ويعرض المتحف روائع ذات سيوف متقاطعة.")</f>
        <v>تم إنشاء أول خزف أوروبي صلب في مايسن عام 1710. ويعرض المتحف روائع ذات سيوف متقاطعة.</v>
      </c>
    </row>
    <row r="73" ht="15.75" customHeight="1">
      <c r="A73" s="1">
        <v>72.0</v>
      </c>
      <c r="B73" s="1" t="s">
        <v>217</v>
      </c>
      <c r="C73" s="1" t="s">
        <v>218</v>
      </c>
      <c r="D73" s="1">
        <v>523948.0</v>
      </c>
      <c r="E73" s="1">
        <v>130644.0</v>
      </c>
      <c r="F73" s="1" t="s">
        <v>219</v>
      </c>
      <c r="G73" s="1" t="str">
        <f>IFERROR(__xludf.DUMMYFUNCTION("GOOGLETRANSLATE(F73, ""de"", ""ar"")"),"يعرض متحف التكنولوجيا القاطرات والسفن و""قاذفة الزبيب"" على السطح - تاريخ عملي للتكنولوجيا.")</f>
        <v>يعرض متحف التكنولوجيا القاطرات والسفن و"قاذفة الزبيب" على السطح - تاريخ عملي للتكنولوجيا.</v>
      </c>
    </row>
    <row r="74" ht="15.75" customHeight="1">
      <c r="A74" s="1">
        <v>73.0</v>
      </c>
      <c r="B74" s="1" t="s">
        <v>220</v>
      </c>
      <c r="C74" s="1" t="s">
        <v>221</v>
      </c>
      <c r="D74" s="1">
        <v>523969.0</v>
      </c>
      <c r="E74" s="1">
        <v>130586.0</v>
      </c>
      <c r="F74" s="1" t="s">
        <v>222</v>
      </c>
      <c r="G74" s="1" t="str">
        <f>IFERROR(__xludf.DUMMYFUNCTION("GOOGLETRANSLATE(F74, ""de"", ""ar"")"),"وكان فردريك الأكبر قد بنى مدينة سانسوسي (1747) لتكون مسكناً صيفياً على طراز الروكوكو فوق مصاطب الكروم؛ تعتبر الحديقة والقلاع من مواقع التراث العالمي لليونسكو.")</f>
        <v>وكان فردريك الأكبر قد بنى مدينة سانسوسي (1747) لتكون مسكناً صيفياً على طراز الروكوكو فوق مصاطب الكروم؛ تعتبر الحديقة والقلاع من مواقع التراث العالمي لليونسكو.</v>
      </c>
    </row>
    <row r="75" ht="15.75" customHeight="1">
      <c r="A75" s="1">
        <v>74.0</v>
      </c>
      <c r="B75" s="1" t="s">
        <v>223</v>
      </c>
      <c r="C75" s="1" t="s">
        <v>224</v>
      </c>
      <c r="D75" s="1">
        <v>524039.0</v>
      </c>
      <c r="E75" s="1">
        <v>130682.0</v>
      </c>
      <c r="F75" s="1" t="s">
        <v>225</v>
      </c>
      <c r="G75" s="1" t="str">
        <f>IFERROR(__xludf.DUMMYFUNCTION("GOOGLETRANSLATE(F75, ""de"", ""ar"")"),"تعتبر استوديوهات بابلسبيرغ (منذ عام 1912) مهد السينما الألمانية. توفر حديقة الأفلام نظرة ثاقبة حول المجموعات والحركات المثيرة وتقنيات الخدع.")</f>
        <v>تعتبر استوديوهات بابلسبيرغ (منذ عام 1912) مهد السينما الألمانية. توفر حديقة الأفلام نظرة ثاقبة حول المجموعات والحركات المثيرة وتقنيات الخدع.</v>
      </c>
    </row>
    <row r="76" ht="15.75" customHeight="1">
      <c r="A76" s="1">
        <v>75.0</v>
      </c>
      <c r="B76" s="1" t="s">
        <v>226</v>
      </c>
      <c r="C76" s="1" t="s">
        <v>227</v>
      </c>
      <c r="D76" s="1">
        <v>524731.0</v>
      </c>
      <c r="E76" s="1">
        <v>13403.0</v>
      </c>
      <c r="F76" s="1" t="s">
        <v>228</v>
      </c>
      <c r="G76" s="1" t="str">
        <f>IFERROR(__xludf.DUMMYFUNCTION("GOOGLETRANSLATE(F76, ""de"", ""ar"")"),"في 1948/1949، زودت قاذفات الزبيب الجزء الغربي المحاصر من المدينة عبر مطار تمبلهوف - رمز التضامن الغربي.")</f>
        <v>في 1948/1949، زودت قاذفات الزبيب الجزء الغربي المحاصر من المدينة عبر مطار تمبلهوف - رمز التضامن الغربي.</v>
      </c>
    </row>
    <row r="77" ht="15.75" customHeight="1">
      <c r="A77" s="1">
        <v>76.0</v>
      </c>
      <c r="B77" s="1" t="s">
        <v>229</v>
      </c>
      <c r="C77" s="1" t="s">
        <v>230</v>
      </c>
      <c r="D77" s="1">
        <v>525076.0</v>
      </c>
      <c r="E77" s="1">
        <v>133904.0</v>
      </c>
      <c r="F77" s="1" t="s">
        <v>231</v>
      </c>
      <c r="G77" s="1" t="str">
        <f>IFERROR(__xludf.DUMMYFUNCTION("GOOGLETRANSLATE(F77, ""de"", ""ar"")"),"وكان أشهر معبر حدودي في برلين مسرحاً لمواجهات بالدبابات المتفجرة بين الولايات المتحدة والاتحاد السوفييتي في أكتوبر 1961.")</f>
        <v>وكان أشهر معبر حدودي في برلين مسرحاً لمواجهات بالدبابات المتفجرة بين الولايات المتحدة والاتحاد السوفييتي في أكتوبر 1961.</v>
      </c>
    </row>
    <row r="78" ht="15.75" customHeight="1">
      <c r="A78" s="1">
        <v>77.0</v>
      </c>
      <c r="B78" s="1" t="s">
        <v>232</v>
      </c>
      <c r="C78" s="1" t="s">
        <v>233</v>
      </c>
      <c r="D78" s="1">
        <v>525163.0</v>
      </c>
      <c r="E78" s="1">
        <v>133777.0</v>
      </c>
      <c r="F78" s="1" t="s">
        <v>234</v>
      </c>
      <c r="G78" s="1" t="str">
        <f>IFERROR(__xludf.DUMMYFUNCTION("GOOGLETRANSLATE(F78, ""de"", ""ar"")"),"ظلت البوابة الكلاسيكية (1791) معلقة على الحائط حتى عام 1989 وأصبحت رمزًا للوحدة الألمانية بعد سقوطها.")</f>
        <v>ظلت البوابة الكلاسيكية (1791) معلقة على الحائط حتى عام 1989 وأصبحت رمزًا للوحدة الألمانية بعد سقوطها.</v>
      </c>
    </row>
    <row r="79" ht="15.75" customHeight="1">
      <c r="A79" s="1">
        <v>78.0</v>
      </c>
      <c r="B79" s="1" t="s">
        <v>235</v>
      </c>
      <c r="C79" s="1" t="s">
        <v>236</v>
      </c>
      <c r="D79" s="1">
        <v>525114.0</v>
      </c>
      <c r="E79" s="1">
        <v>13439.0</v>
      </c>
      <c r="F79" s="1" t="s">
        <v>237</v>
      </c>
      <c r="G79" s="1" t="str">
        <f>IFERROR(__xludf.DUMMYFUNCTION("GOOGLETRANSLATE(F79, ""de"", ""ar"")"),"يعتبر نادي Berghain الواقع في محطة توليد كهرباء سابقة بمثابة مكة التقنية: حيث تخلق سياسة الأبواب الصارمة والصوت من الدرجة الأولى مكانة عبادة.")</f>
        <v>يعتبر نادي Berghain الواقع في محطة توليد كهرباء سابقة بمثابة مكة التقنية: حيث تخلق سياسة الأبواب الصارمة والصوت من الدرجة الأولى مكانة عبادة.</v>
      </c>
    </row>
    <row r="80" ht="15.75" customHeight="1">
      <c r="A80" s="1">
        <v>79.0</v>
      </c>
      <c r="B80" s="1" t="s">
        <v>238</v>
      </c>
      <c r="C80" s="1" t="s">
        <v>239</v>
      </c>
      <c r="D80" s="1">
        <v>525045.0</v>
      </c>
      <c r="E80" s="1">
        <v>134408.0</v>
      </c>
      <c r="F80" s="1" t="s">
        <v>240</v>
      </c>
      <c r="G80" s="1" t="str">
        <f>IFERROR(__xludf.DUMMYFUNCTION("GOOGLETRANSLATE(F80, ""de"", ""ar"")"),"تُظهر بقايا الجدار المطلية التي يبلغ طولها 1.3 كيلومتر أكثر من 100 لوحة جدارية تعبر عن الفرح بالثورة السلمية لعام 1989.")</f>
        <v>تُظهر بقايا الجدار المطلية التي يبلغ طولها 1.3 كيلومتر أكثر من 100 لوحة جدارية تعبر عن الفرح بالثورة السلمية لعام 1989.</v>
      </c>
    </row>
    <row r="81" ht="15.75" customHeight="1">
      <c r="A81" s="1">
        <v>80.0</v>
      </c>
      <c r="B81" s="1" t="s">
        <v>241</v>
      </c>
      <c r="C81" s="1" t="s">
        <v>242</v>
      </c>
      <c r="D81" s="1">
        <v>53125.0</v>
      </c>
      <c r="E81" s="1">
        <v>13093.0</v>
      </c>
      <c r="F81" s="1" t="s">
        <v>243</v>
      </c>
      <c r="G81" s="1" t="str">
        <f>IFERROR(__xludf.DUMMYFUNCTION("GOOGLETRANSLATE(F81, ""de"", ""ar"")"),"تقع قلعة فورستنبرج في منتزه ذو مناظر طبيعية في شمال براندنبورغ غني بالبحيرات والغابات ويعكس الثقافة الأرستقراطية في بيئة طبيعية.")</f>
        <v>تقع قلعة فورستنبرج في منتزه ذو مناظر طبيعية في شمال براندنبورغ غني بالبحيرات والغابات ويعكس الثقافة الأرستقراطية في بيئة طبيعية.</v>
      </c>
    </row>
    <row r="82" ht="15.75" customHeight="1">
      <c r="A82" s="1">
        <v>81.0</v>
      </c>
      <c r="B82" s="1" t="s">
        <v>244</v>
      </c>
      <c r="C82" s="1" t="s">
        <v>245</v>
      </c>
      <c r="D82" s="1">
        <v>530913.0</v>
      </c>
      <c r="E82" s="1">
        <v>129084.0</v>
      </c>
      <c r="F82" s="1" t="s">
        <v>246</v>
      </c>
      <c r="G82" s="1" t="str">
        <f>IFERROR(__xludf.DUMMYFUNCTION("GOOGLETRANSLATE(F82, ""de"", ""ar"")"),"تمثل قلعة Rheinsberg في Grienericksee، التي كانت في السابق مقر إقامة فريدريك العظيم، البحيرات المثالية في منطقة Ruppiner Land.")</f>
        <v>تمثل قلعة Rheinsberg في Grienericksee، التي كانت في السابق مقر إقامة فريدريك العظيم، البحيرات المثالية في منطقة Ruppiner Land.</v>
      </c>
    </row>
    <row r="83" ht="15.75" customHeight="1">
      <c r="A83" s="1">
        <v>82.0</v>
      </c>
      <c r="B83" s="1" t="s">
        <v>247</v>
      </c>
      <c r="C83" s="1" t="s">
        <v>248</v>
      </c>
      <c r="D83" s="1">
        <v>535211.0</v>
      </c>
      <c r="E83" s="1">
        <v>126801.0</v>
      </c>
      <c r="F83" s="1" t="s">
        <v>249</v>
      </c>
      <c r="G83" s="1" t="str">
        <f>IFERROR(__xludf.DUMMYFUNCTION("GOOGLETRANSLATE(F83, ""de"", ""ar"")"),"يوفر أكبر حوض أسماك للمياه العذبة في ألمانيا معلومات عن النباتات والحيوانات في منطقة بحيرة مكلنبورغ في موريتسيوم.")</f>
        <v>يوفر أكبر حوض أسماك للمياه العذبة في ألمانيا معلومات عن النباتات والحيوانات في منطقة بحيرة مكلنبورغ في موريتسيوم.</v>
      </c>
    </row>
    <row r="84" ht="15.75" customHeight="1">
      <c r="A84" s="1">
        <v>83.0</v>
      </c>
      <c r="B84" s="1" t="s">
        <v>250</v>
      </c>
      <c r="C84" s="1" t="s">
        <v>251</v>
      </c>
      <c r="D84" s="1">
        <v>540865.0</v>
      </c>
      <c r="E84" s="1">
        <v>121095.0</v>
      </c>
      <c r="F84" s="1" t="s">
        <v>252</v>
      </c>
      <c r="G84" s="1" t="str">
        <f>IFERROR(__xludf.DUMMYFUNCTION("GOOGLETRANSLATE(F84, ""de"", ""ar"")"),"يُظهر Alter Strom من Warnemünde التقاليد البحرية لمدينة روستوك الهانزية من خلال قوارب الصيد ومنازل القبطان.")</f>
        <v>يُظهر Alter Strom من Warnemünde التقاليد البحرية لمدينة روستوك الهانزية من خلال قوارب الصيد ومنازل القبطان.</v>
      </c>
    </row>
    <row r="85" ht="15.75" customHeight="1">
      <c r="A85" s="1">
        <v>84.0</v>
      </c>
      <c r="B85" s="1" t="s">
        <v>253</v>
      </c>
      <c r="C85" s="1" t="s">
        <v>254</v>
      </c>
      <c r="D85" s="1">
        <v>543996.0</v>
      </c>
      <c r="E85" s="1">
        <v>124539.0</v>
      </c>
      <c r="F85" s="1" t="s">
        <v>255</v>
      </c>
      <c r="G85" s="1" t="str">
        <f>IFERROR(__xludf.DUMMYFUNCTION("GOOGLETRANSLATE(F85, ""de"", ""ar"")"),"أصبحت قرية الصيد السابقة Ahrenshoop مستعمرة للفنانين منذ عام 1890؛ تستمر الأسطح المصنوعة من القش وأضواء بحر البلطيق في إلهام الرسامين اليوم.")</f>
        <v>أصبحت قرية الصيد السابقة Ahrenshoop مستعمرة للفنانين منذ عام 1890؛ تستمر الأسطح المصنوعة من القش وأضواء بحر البلطيق في إلهام الرسامين اليوم.</v>
      </c>
    </row>
    <row r="86" ht="15.75" customHeight="1">
      <c r="A86" s="1">
        <v>85.0</v>
      </c>
      <c r="B86" s="1" t="s">
        <v>256</v>
      </c>
      <c r="C86" s="1" t="s">
        <v>257</v>
      </c>
      <c r="D86" s="1">
        <v>543126.0</v>
      </c>
      <c r="E86" s="1">
        <v>130929.0</v>
      </c>
      <c r="F86" s="1" t="s">
        <v>258</v>
      </c>
      <c r="G86" s="1" t="str">
        <f>IFERROR(__xludf.DUMMYFUNCTION("GOOGLETRANSLATE(F86, ""de"", ""ar"")"),"حصلت البلدة القديمة القوطية المبنية من الطوب في شترالسوند على حقوق المدينة في عام 1234؛ وباعتباره ميناء هانزيًا، فهو أحد مواقع التراث العالمي لليونسكو مع فيسمار.")</f>
        <v>حصلت البلدة القديمة القوطية المبنية من الطوب في شترالسوند على حقوق المدينة في عام 1234؛ وباعتباره ميناء هانزيًا، فهو أحد مواقع التراث العالمي لليونسكو مع فيسمار.</v>
      </c>
    </row>
    <row r="87" ht="15.75" customHeight="1">
      <c r="A87" s="1">
        <v>86.0</v>
      </c>
      <c r="B87" s="1" t="s">
        <v>259</v>
      </c>
      <c r="C87" s="1" t="s">
        <v>260</v>
      </c>
      <c r="D87" s="1">
        <v>540924.0</v>
      </c>
      <c r="E87" s="1">
        <v>134022.0</v>
      </c>
      <c r="F87" s="1" t="s">
        <v>261</v>
      </c>
      <c r="G87" s="1" t="str">
        <f>IFERROR(__xludf.DUMMYFUNCTION("GOOGLETRANSLATE(F87, ""de"", ""ar"")"),"تهيمن كاتدرائية القديس نيكولاي (القرن الثالث عشر) على صورة جرايفسفالد وتجسد الثروة القوطية والهانزية المبنية من الطوب في شمال ألمانيا.")</f>
        <v>تهيمن كاتدرائية القديس نيكولاي (القرن الثالث عشر) على صورة جرايفسفالد وتجسد الثروة القوطية والهانزية المبنية من الطوب في شمال ألمانيا.</v>
      </c>
    </row>
    <row r="88" ht="15.75" customHeight="1">
      <c r="A88" s="1">
        <v>87.0</v>
      </c>
      <c r="B88" s="1" t="s">
        <v>262</v>
      </c>
      <c r="C88" s="1" t="s">
        <v>263</v>
      </c>
      <c r="D88" s="1">
        <v>545406.0</v>
      </c>
      <c r="E88" s="1">
        <v>135747.0</v>
      </c>
      <c r="F88" s="1" t="s">
        <v>264</v>
      </c>
      <c r="G88" s="1" t="str">
        <f>IFERROR(__xludf.DUMMYFUNCTION("GOOGLETRANSLATE(F88, ""de"", ""ar"")"),"تعد المنحدرات الطباشيرية البيضاء وغابات الزان القديمة في متنزه جاسموند الوطني أحد مواقع التراث العالمي لليونسكو ومصدر إلهام للرسامين الرومانسيين.")</f>
        <v>تعد المنحدرات الطباشيرية البيضاء وغابات الزان القديمة في متنزه جاسموند الوطني أحد مواقع التراث العالمي لليونسكو ومصدر إلهام للرسامين الرومانسيين.</v>
      </c>
    </row>
    <row r="89" ht="15.75" customHeight="1">
      <c r="A89" s="1">
        <v>88.0</v>
      </c>
      <c r="B89" s="1" t="s">
        <v>265</v>
      </c>
      <c r="C89" s="1" t="s">
        <v>266</v>
      </c>
      <c r="D89" s="1">
        <v>540536.0</v>
      </c>
      <c r="E89" s="1">
        <v>142743.0</v>
      </c>
      <c r="F89" s="1" t="s">
        <v>267</v>
      </c>
      <c r="G89" s="1" t="str">
        <f>IFERROR(__xludf.DUMMYFUNCTION("GOOGLETRANSLATE(F89, ""de"", ""ar"")"),"منذ عام 1900، اجتذبت آلبيك وهيرينجسدورف وبانسين برجوازية برلين إلى بحر البلطيق من خلال أرصفة السفن وهندسة المنتجعات.")</f>
        <v>منذ عام 1900، اجتذبت آلبيك وهيرينجسدورف وبانسين برجوازية برلين إلى بحر البلطيق من خلال أرصفة السفن وهندسة المنتجعات.</v>
      </c>
    </row>
    <row r="90" ht="15.75" customHeight="1">
      <c r="A90" s="1">
        <v>89.0</v>
      </c>
      <c r="B90" s="1" t="s">
        <v>268</v>
      </c>
      <c r="C90" s="1" t="s">
        <v>269</v>
      </c>
      <c r="D90" s="1">
        <v>538923.0</v>
      </c>
      <c r="E90" s="1">
        <v>114628.0</v>
      </c>
      <c r="F90" s="1" t="s">
        <v>270</v>
      </c>
      <c r="G90" s="1" t="str">
        <f>IFERROR(__xludf.DUMMYFUNCTION("GOOGLETRANSLATE(F90, ""de"", ""ar"")"),"تشهد المنازل الجملونية والفنون المائية والكنائس المبنية من الطوب على ماضي فيسمار الهانسي، مما جعل المدينة القديمة موقعًا للتراث الثقافي العالمي.")</f>
        <v>تشهد المنازل الجملونية والفنون المائية والكنائس المبنية من الطوب على ماضي فيسمار الهانسي، مما جعل المدينة القديمة موقعًا للتراث الثقافي العالمي.</v>
      </c>
    </row>
    <row r="91" ht="15.75" customHeight="1">
      <c r="A91" s="1">
        <v>90.0</v>
      </c>
      <c r="B91" s="1" t="s">
        <v>271</v>
      </c>
      <c r="C91" s="1" t="s">
        <v>271</v>
      </c>
      <c r="D91" s="1">
        <v>536294.0</v>
      </c>
      <c r="E91" s="1">
        <v>114154.0</v>
      </c>
      <c r="F91" s="1" t="s">
        <v>272</v>
      </c>
      <c r="G91" s="1" t="str">
        <f>IFERROR(__xludf.DUMMYFUNCTION("GOOGLETRANSLATE(F91, ""de"", ""ar"")"),"تعتبر قلعة الجزيرة الرومانسية ذات الأبراج والبرج الذهبي مقرًا لبرلمان ولاية مكلنبورغ-فوربومرن وفكرة خيالية.")</f>
        <v>تعتبر قلعة الجزيرة الرومانسية ذات الأبراج والبرج الذهبي مقرًا لبرلمان ولاية مكلنبورغ-فوربومرن وفكرة خيالية.</v>
      </c>
    </row>
    <row r="92" ht="15.75" customHeight="1">
      <c r="A92" s="1">
        <v>91.0</v>
      </c>
      <c r="B92" s="1" t="s">
        <v>273</v>
      </c>
      <c r="C92" s="1" t="s">
        <v>274</v>
      </c>
      <c r="D92" s="1">
        <v>538683.0</v>
      </c>
      <c r="E92" s="1">
        <v>106873.0</v>
      </c>
      <c r="F92" s="1" t="s">
        <v>275</v>
      </c>
      <c r="G92" s="1" t="str">
        <f>IFERROR(__xludf.DUMMYFUNCTION("GOOGLETRANSLATE(F92, ""de"", ""ar"")"),"يعد مبنى هولستنتور القوطي المتأخر (1464-1478) ذو البرجين التوأم أحد معالم لوبيك ويذكرنا بذروة الرابطة الهانزية.")</f>
        <v>يعد مبنى هولستنتور القوطي المتأخر (1464-1478) ذو البرجين التوأم أحد معالم لوبيك ويذكرنا بذروة الرابطة الهانزية.</v>
      </c>
    </row>
    <row r="93" ht="15.75" customHeight="1">
      <c r="A93" s="1">
        <v>92.0</v>
      </c>
      <c r="B93" s="1" t="s">
        <v>276</v>
      </c>
      <c r="C93" s="1" t="s">
        <v>277</v>
      </c>
      <c r="D93" s="1">
        <v>535496.0</v>
      </c>
      <c r="E93" s="1">
        <v>99882.0</v>
      </c>
      <c r="F93" s="1" t="s">
        <v>278</v>
      </c>
      <c r="G93" s="1" t="str">
        <f>IFERROR(__xludf.DUMMYFUNCTION("GOOGLETRANSLATE(F93, ""de"", ""ar"")"),"يوفر برج ميشيل الباروكي الذي يبلغ ارتفاعه 132 مترًا توجيهًا للبحارة وسكان هامبورغ معلمًا يخلق هويتهم.")</f>
        <v>يوفر برج ميشيل الباروكي الذي يبلغ ارتفاعه 132 مترًا توجيهًا للبحارة وسكان هامبورغ معلمًا يخلق هويتهم.</v>
      </c>
    </row>
    <row r="94" ht="15.75" customHeight="1">
      <c r="A94" s="1">
        <v>93.0</v>
      </c>
      <c r="B94" s="1" t="s">
        <v>279</v>
      </c>
      <c r="C94" s="1" t="s">
        <v>280</v>
      </c>
      <c r="D94" s="1">
        <v>535411.0</v>
      </c>
      <c r="E94" s="1">
        <v>99847.0</v>
      </c>
      <c r="F94" s="1" t="s">
        <v>281</v>
      </c>
      <c r="G94" s="1" t="str">
        <f>IFERROR(__xludf.DUMMYFUNCTION("GOOGLETRANSLATE(F94, ""de"", ""ar"")"),"تجمع قاعة الحفلات الموسيقية، التي تم افتتاحها في عام 2017، بين البناء الحديث للموجات الزجاجية في مخزن الرصيف التاريخي وتضع المعايير الصوتية.")</f>
        <v>تجمع قاعة الحفلات الموسيقية، التي تم افتتاحها في عام 2017، بين البناء الحديث للموجات الزجاجية في مخزن الرصيف التاريخي وتضع المعايير الصوتية.</v>
      </c>
    </row>
    <row r="95" ht="15.75" customHeight="1">
      <c r="A95" s="1">
        <v>94.0</v>
      </c>
      <c r="B95" s="1" t="s">
        <v>282</v>
      </c>
      <c r="C95" s="1" t="s">
        <v>283</v>
      </c>
      <c r="D95" s="1">
        <v>535462.0</v>
      </c>
      <c r="E95" s="1">
        <v>99667.0</v>
      </c>
      <c r="F95" s="1" t="s">
        <v>284</v>
      </c>
      <c r="G95" s="1" t="str">
        <f>IFERROR(__xludf.DUMMYFUNCTION("GOOGLETRANSLATE(F95, ""de"", ""ar"")"),"يحتفل أكبر مهرجان للموانئ في أوروبا بشحن هامبورغ منذ عام 1189 من خلال العروض الواردة والصادرة لكل شيء بدءًا من السفن الشراعية وحتى السفن السياحية.")</f>
        <v>يحتفل أكبر مهرجان للموانئ في أوروبا بشحن هامبورغ منذ عام 1189 من خلال العروض الواردة والصادرة لكل شيء بدءًا من السفن الشراعية وحتى السفن السياحية.</v>
      </c>
    </row>
    <row r="96" ht="15.75" customHeight="1">
      <c r="A96" s="1">
        <v>95.0</v>
      </c>
      <c r="B96" s="1" t="s">
        <v>285</v>
      </c>
      <c r="C96" s="1" t="s">
        <v>286</v>
      </c>
      <c r="D96" s="1">
        <v>535503.0</v>
      </c>
      <c r="E96" s="1">
        <v>99668.0</v>
      </c>
      <c r="F96" s="1" t="s">
        <v>287</v>
      </c>
      <c r="G96" s="1" t="str">
        <f>IFERROR(__xludf.DUMMYFUNCTION("GOOGLETRANSLATE(F96, ""de"", ""ar"")"),"تعد منطقة سانت باولي ريبربان منطقة ترفيهية مشهورة عالميًا ومنطقة الضوء الأحمر، حيث حققت فرقة البيتلز انطلاقتها في الستينيات.")</f>
        <v>تعد منطقة سانت باولي ريبربان منطقة ترفيهية مشهورة عالميًا ومنطقة الضوء الأحمر، حيث حققت فرقة البيتلز انطلاقتها في الستينيات.</v>
      </c>
    </row>
    <row r="97" ht="15.75" customHeight="1">
      <c r="A97" s="1">
        <v>96.0</v>
      </c>
      <c r="B97" s="1" t="s">
        <v>288</v>
      </c>
      <c r="C97" s="1" t="s">
        <v>289</v>
      </c>
      <c r="D97" s="1">
        <v>543215.0</v>
      </c>
      <c r="E97" s="1">
        <v>10131.0</v>
      </c>
      <c r="F97" s="1" t="s">
        <v>290</v>
      </c>
      <c r="G97" s="1" t="str">
        <f>IFERROR(__xludf.DUMMYFUNCTION("GOOGLETRANSLATE(F97, ""de"", ""ar"")"),"يضمن فريق THW Kiel، الفائز بالعديد من البطولات الألمانية ودوري أبطال أوروبا، أجواء كرة يد عالمية المستوى في ملعب Wunderino Arena.")</f>
        <v>يضمن فريق THW Kiel، الفائز بالعديد من البطولات الألمانية ودوري أبطال أوروبا، أجواء كرة يد عالمية المستوى في ملعب Wunderino Arena.</v>
      </c>
    </row>
    <row r="98" ht="15.75" customHeight="1">
      <c r="A98" s="1">
        <v>97.0</v>
      </c>
      <c r="B98" s="1" t="s">
        <v>291</v>
      </c>
      <c r="C98" s="1" t="s">
        <v>292</v>
      </c>
      <c r="D98" s="1">
        <v>543233.0</v>
      </c>
      <c r="E98" s="1">
        <v>10139.0</v>
      </c>
      <c r="F98" s="1" t="s">
        <v>293</v>
      </c>
      <c r="G98" s="1" t="str">
        <f>IFERROR(__xludf.DUMMYFUNCTION("GOOGLETRANSLATE(F98, ""de"", ""ar"")"),"منذ عام 1882، أصبح أسبوع كيل أكبر حدث إبحار في العالم؛ سباقات القوارب والمهرجان البحري ينشطان المضيق البحري لمدة أسبوع.")</f>
        <v>منذ عام 1882، أصبح أسبوع كيل أكبر حدث إبحار في العالم؛ سباقات القوارب والمهرجان البحري ينشطان المضيق البحري لمدة أسبوع.</v>
      </c>
    </row>
    <row r="99" ht="15.75" customHeight="1">
      <c r="A99" s="1">
        <v>98.0</v>
      </c>
      <c r="B99" s="1" t="s">
        <v>294</v>
      </c>
      <c r="C99" s="1" t="s">
        <v>295</v>
      </c>
      <c r="D99" s="1">
        <v>543433.0</v>
      </c>
      <c r="E99" s="1">
        <v>101247.0</v>
      </c>
      <c r="F99" s="1" t="s">
        <v>296</v>
      </c>
      <c r="G99" s="1" t="str">
        <f>IFERROR(__xludf.DUMMYFUNCTION("GOOGLETRANSLATE(F99, ""de"", ""ar"")"),"أسس الفيزيائي ماكس بلانك (1858-1947) المولود في كيل، الفيزياء الحديثة بنظريته الكمومية.")</f>
        <v>أسس الفيزيائي ماكس بلانك (1858-1947) المولود في كيل، الفيزياء الحديثة بنظريته الكمومية.</v>
      </c>
    </row>
    <row r="100" ht="15.75" customHeight="1">
      <c r="A100" s="1">
        <v>99.0</v>
      </c>
      <c r="B100" s="1" t="s">
        <v>297</v>
      </c>
      <c r="C100" s="1" t="s">
        <v>298</v>
      </c>
      <c r="D100" s="1">
        <v>549063.0</v>
      </c>
      <c r="E100" s="1">
        <v>83028.0</v>
      </c>
      <c r="F100" s="1" t="s">
        <v>299</v>
      </c>
      <c r="G100" s="1" t="str">
        <f>IFERROR(__xludf.DUMMYFUNCTION("GOOGLETRANSLATE(F100, ""de"", ""ar"")"),"تجمع سيلت بين تقاليد السبا والشواطئ الرملية التي لا نهاية لها وذوق المشاهير. تتميز جزيرة بحر الشمال الأكثر شهرة في ألمانيا بكراسي الشاطئ والقرى المسقوفة بالقش.")</f>
        <v>تجمع سيلت بين تقاليد السبا والشواطئ الرملية التي لا نهاية لها وذوق المشاهير. تتميز جزيرة بحر الشمال الأكثر شهرة في ألمانيا بكراسي الشاطئ والقرى المسقوفة بالقش.</v>
      </c>
    </row>
    <row r="101" ht="15.75" customHeight="1">
      <c r="A101" s="1">
        <v>100.0</v>
      </c>
      <c r="B101" s="1" t="s">
        <v>300</v>
      </c>
      <c r="C101" s="1" t="s">
        <v>301</v>
      </c>
      <c r="D101" s="1">
        <v>521317.0</v>
      </c>
      <c r="E101" s="1">
        <v>116394.0</v>
      </c>
      <c r="F101" s="1" t="s">
        <v>302</v>
      </c>
      <c r="G101" s="1" t="str">
        <f>IFERROR(__xludf.DUMMYFUNCTION("GOOGLETRANSLATE(F101, ""de"", ""ar"")"),"يجمع المتحف الفني في دير السيدة العذراء بين الهندسة المعمارية الرومانية والفن العالمي المعاصر - رمز مدينة ماغديبورغ الحديثة.")</f>
        <v>يجمع المتحف الفني في دير السيدة العذراء بين الهندسة المعمارية الرومانية والفن العالمي المعاصر - رمز مدينة ماغديبورغ الحديثة.</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27.43"/>
    <col customWidth="1" min="3" max="3" width="38.0"/>
    <col customWidth="1" min="4" max="4" width="10.57"/>
    <col customWidth="1" min="5" max="5" width="12.14"/>
    <col customWidth="1" min="6" max="6" width="81.14"/>
    <col customWidth="1" min="7" max="26" width="10.71"/>
  </cols>
  <sheetData>
    <row r="1">
      <c r="A1" s="1" t="s">
        <v>0</v>
      </c>
      <c r="B1" s="1" t="s">
        <v>1</v>
      </c>
      <c r="C1" s="1" t="s">
        <v>2</v>
      </c>
      <c r="D1" s="1" t="s">
        <v>3</v>
      </c>
      <c r="E1" s="1" t="s">
        <v>4</v>
      </c>
      <c r="F1" s="1" t="s">
        <v>303</v>
      </c>
    </row>
    <row r="2">
      <c r="A2" s="1">
        <v>1.0</v>
      </c>
      <c r="B2" s="1" t="s">
        <v>6</v>
      </c>
      <c r="C2" s="1" t="s">
        <v>304</v>
      </c>
      <c r="D2" s="1">
        <v>501096.0</v>
      </c>
      <c r="E2" s="1">
        <v>86724.0</v>
      </c>
      <c r="F2" s="1" t="s">
        <v>305</v>
      </c>
    </row>
    <row r="3">
      <c r="A3" s="1">
        <v>2.0</v>
      </c>
      <c r="B3" s="1" t="s">
        <v>9</v>
      </c>
      <c r="C3" s="1" t="s">
        <v>306</v>
      </c>
      <c r="D3" s="1">
        <v>501106.0</v>
      </c>
      <c r="E3" s="1">
        <v>86821.0</v>
      </c>
      <c r="F3" s="1" t="s">
        <v>307</v>
      </c>
    </row>
    <row r="4">
      <c r="A4" s="1">
        <v>3.0</v>
      </c>
      <c r="B4" s="1" t="s">
        <v>12</v>
      </c>
      <c r="C4" s="1" t="s">
        <v>308</v>
      </c>
      <c r="D4" s="1">
        <v>500826.0</v>
      </c>
      <c r="E4" s="1">
        <v>82435.0</v>
      </c>
      <c r="F4" s="1" t="s">
        <v>309</v>
      </c>
    </row>
    <row r="5">
      <c r="A5" s="1">
        <v>4.0</v>
      </c>
      <c r="B5" s="1" t="s">
        <v>15</v>
      </c>
      <c r="C5" s="1" t="s">
        <v>310</v>
      </c>
      <c r="D5" s="1">
        <v>499983.0</v>
      </c>
      <c r="E5" s="1">
        <v>82711.0</v>
      </c>
      <c r="F5" s="1" t="s">
        <v>311</v>
      </c>
    </row>
    <row r="6">
      <c r="A6" s="1">
        <v>5.0</v>
      </c>
      <c r="B6" s="1" t="s">
        <v>18</v>
      </c>
      <c r="C6" s="1" t="s">
        <v>312</v>
      </c>
      <c r="D6" s="1">
        <v>499992.0</v>
      </c>
      <c r="E6" s="1">
        <v>79433.0</v>
      </c>
      <c r="F6" s="1" t="s">
        <v>313</v>
      </c>
    </row>
    <row r="7">
      <c r="A7" s="1">
        <v>6.0</v>
      </c>
      <c r="B7" s="1" t="s">
        <v>21</v>
      </c>
      <c r="C7" s="1" t="s">
        <v>314</v>
      </c>
      <c r="D7" s="1">
        <v>49804.0</v>
      </c>
      <c r="E7" s="1">
        <v>7967.0</v>
      </c>
      <c r="F7" s="1" t="s">
        <v>315</v>
      </c>
    </row>
    <row r="8">
      <c r="A8" s="1">
        <v>7.0</v>
      </c>
      <c r="B8" s="1" t="s">
        <v>24</v>
      </c>
      <c r="C8" s="1" t="s">
        <v>316</v>
      </c>
      <c r="D8" s="1">
        <v>501389.0</v>
      </c>
      <c r="E8" s="1">
        <v>77089.0</v>
      </c>
      <c r="F8" s="1" t="s">
        <v>26</v>
      </c>
    </row>
    <row r="9">
      <c r="A9" s="1">
        <v>8.0</v>
      </c>
      <c r="B9" s="1" t="s">
        <v>27</v>
      </c>
      <c r="C9" s="1" t="s">
        <v>317</v>
      </c>
      <c r="D9" s="1">
        <v>501172.0</v>
      </c>
      <c r="E9" s="1">
        <v>76071.0</v>
      </c>
      <c r="F9" s="1" t="s">
        <v>318</v>
      </c>
    </row>
    <row r="10">
      <c r="A10" s="1">
        <v>9.0</v>
      </c>
      <c r="B10" s="1" t="s">
        <v>30</v>
      </c>
      <c r="C10" s="1" t="s">
        <v>319</v>
      </c>
      <c r="D10" s="1">
        <v>503569.0</v>
      </c>
      <c r="E10" s="1">
        <v>75881.0</v>
      </c>
      <c r="F10" s="1" t="s">
        <v>320</v>
      </c>
    </row>
    <row r="11">
      <c r="A11" s="1">
        <v>10.0</v>
      </c>
      <c r="B11" s="1" t="s">
        <v>33</v>
      </c>
      <c r="C11" s="1" t="s">
        <v>321</v>
      </c>
      <c r="D11" s="1">
        <v>503341.0</v>
      </c>
      <c r="E11" s="1">
        <v>69476.0</v>
      </c>
      <c r="F11" s="1" t="s">
        <v>322</v>
      </c>
    </row>
    <row r="12">
      <c r="A12" s="1">
        <v>11.0</v>
      </c>
      <c r="B12" s="1" t="s">
        <v>36</v>
      </c>
      <c r="C12" s="1" t="s">
        <v>323</v>
      </c>
      <c r="D12" s="1">
        <v>507368.0</v>
      </c>
      <c r="E12" s="1">
        <v>7101.0</v>
      </c>
      <c r="F12" s="1" t="s">
        <v>324</v>
      </c>
    </row>
    <row r="13">
      <c r="A13" s="1">
        <v>12.0</v>
      </c>
      <c r="B13" s="1" t="s">
        <v>325</v>
      </c>
      <c r="C13" s="1" t="s">
        <v>326</v>
      </c>
      <c r="D13" s="1">
        <v>509403.0</v>
      </c>
      <c r="E13" s="1">
        <v>6957.0</v>
      </c>
      <c r="F13" s="1" t="s">
        <v>327</v>
      </c>
    </row>
    <row r="14">
      <c r="A14" s="1">
        <v>13.0</v>
      </c>
      <c r="B14" s="1" t="s">
        <v>42</v>
      </c>
      <c r="C14" s="1" t="s">
        <v>328</v>
      </c>
      <c r="D14" s="1">
        <v>509413.0</v>
      </c>
      <c r="E14" s="1">
        <v>69583.0</v>
      </c>
      <c r="F14" s="1" t="s">
        <v>329</v>
      </c>
    </row>
    <row r="15">
      <c r="A15" s="1">
        <v>14.0</v>
      </c>
      <c r="B15" s="1" t="s">
        <v>45</v>
      </c>
      <c r="C15" s="1" t="s">
        <v>330</v>
      </c>
      <c r="D15" s="1">
        <v>512275.0</v>
      </c>
      <c r="E15" s="1">
        <v>6937.0</v>
      </c>
      <c r="F15" s="1" t="s">
        <v>331</v>
      </c>
    </row>
    <row r="16">
      <c r="A16" s="1">
        <v>15.0</v>
      </c>
      <c r="B16" s="1" t="s">
        <v>48</v>
      </c>
      <c r="C16" s="1" t="s">
        <v>332</v>
      </c>
      <c r="D16" s="1">
        <v>512277.0</v>
      </c>
      <c r="E16" s="1">
        <v>67735.0</v>
      </c>
      <c r="F16" s="1" t="s">
        <v>333</v>
      </c>
    </row>
    <row r="17">
      <c r="A17" s="1">
        <v>16.0</v>
      </c>
      <c r="B17" s="1" t="s">
        <v>51</v>
      </c>
      <c r="C17" s="1" t="s">
        <v>334</v>
      </c>
      <c r="D17" s="1">
        <v>514344.0</v>
      </c>
      <c r="E17" s="1">
        <v>67573.0</v>
      </c>
      <c r="F17" s="1" t="s">
        <v>335</v>
      </c>
    </row>
    <row r="18">
      <c r="A18" s="1">
        <v>17.0</v>
      </c>
      <c r="B18" s="1" t="s">
        <v>54</v>
      </c>
      <c r="C18" s="1" t="s">
        <v>336</v>
      </c>
      <c r="D18" s="1">
        <v>514839.0</v>
      </c>
      <c r="E18" s="1">
        <v>70226.0</v>
      </c>
      <c r="F18" s="1" t="s">
        <v>56</v>
      </c>
    </row>
    <row r="19">
      <c r="A19" s="1">
        <v>18.0</v>
      </c>
      <c r="B19" s="1" t="s">
        <v>57</v>
      </c>
      <c r="C19" s="1" t="s">
        <v>337</v>
      </c>
      <c r="D19" s="1">
        <v>5149.0</v>
      </c>
      <c r="E19" s="1">
        <v>70375.0</v>
      </c>
      <c r="F19" s="1" t="s">
        <v>338</v>
      </c>
    </row>
    <row r="20">
      <c r="A20" s="1">
        <v>19.0</v>
      </c>
      <c r="B20" s="1" t="s">
        <v>339</v>
      </c>
      <c r="C20" s="1" t="s">
        <v>340</v>
      </c>
      <c r="D20" s="1">
        <v>514925.0</v>
      </c>
      <c r="E20" s="1">
        <v>74517.0</v>
      </c>
      <c r="F20" s="1" t="s">
        <v>341</v>
      </c>
    </row>
    <row r="21" ht="15.75" customHeight="1">
      <c r="A21" s="1">
        <v>20.0</v>
      </c>
      <c r="B21" s="1" t="s">
        <v>342</v>
      </c>
      <c r="C21" s="1" t="s">
        <v>343</v>
      </c>
      <c r="D21" s="1">
        <v>519628.0</v>
      </c>
      <c r="E21" s="1">
        <v>76254.0</v>
      </c>
      <c r="F21" s="1" t="s">
        <v>344</v>
      </c>
    </row>
    <row r="22" ht="15.75" customHeight="1">
      <c r="A22" s="1">
        <v>21.0</v>
      </c>
      <c r="B22" s="1" t="s">
        <v>66</v>
      </c>
      <c r="C22" s="1" t="s">
        <v>345</v>
      </c>
      <c r="D22" s="1">
        <v>520302.0</v>
      </c>
      <c r="E22" s="1">
        <v>85325.0</v>
      </c>
      <c r="F22" s="1" t="s">
        <v>346</v>
      </c>
    </row>
    <row r="23" ht="15.75" customHeight="1">
      <c r="A23" s="1">
        <v>22.0</v>
      </c>
      <c r="B23" s="1" t="s">
        <v>69</v>
      </c>
      <c r="C23" s="1" t="s">
        <v>347</v>
      </c>
      <c r="D23" s="1">
        <v>523759.0</v>
      </c>
      <c r="E23" s="1">
        <v>9732.0</v>
      </c>
      <c r="F23" s="1" t="s">
        <v>348</v>
      </c>
    </row>
    <row r="24" ht="15.75" customHeight="1">
      <c r="A24" s="1">
        <v>23.0</v>
      </c>
      <c r="B24" s="1" t="s">
        <v>72</v>
      </c>
      <c r="C24" s="1" t="s">
        <v>349</v>
      </c>
      <c r="D24" s="1">
        <v>523759.0</v>
      </c>
      <c r="E24" s="1">
        <v>9732.0</v>
      </c>
      <c r="F24" s="1" t="s">
        <v>350</v>
      </c>
    </row>
    <row r="25" ht="15.75" customHeight="1">
      <c r="A25" s="1">
        <v>24.0</v>
      </c>
      <c r="B25" s="1" t="s">
        <v>75</v>
      </c>
      <c r="C25" s="1" t="s">
        <v>351</v>
      </c>
      <c r="D25" s="1">
        <v>523728.0</v>
      </c>
      <c r="E25" s="1">
        <v>97441.0</v>
      </c>
      <c r="F25" s="1" t="s">
        <v>77</v>
      </c>
    </row>
    <row r="26" ht="15.75" customHeight="1">
      <c r="A26" s="1">
        <v>25.0</v>
      </c>
      <c r="B26" s="1" t="s">
        <v>78</v>
      </c>
      <c r="C26" s="1" t="s">
        <v>352</v>
      </c>
      <c r="D26" s="1">
        <v>523909.0</v>
      </c>
      <c r="E26" s="1">
        <v>97335.0</v>
      </c>
      <c r="F26" s="1" t="s">
        <v>353</v>
      </c>
    </row>
    <row r="27" ht="15.75" customHeight="1">
      <c r="A27" s="1">
        <v>26.0</v>
      </c>
      <c r="B27" s="1" t="s">
        <v>354</v>
      </c>
      <c r="C27" s="1" t="s">
        <v>354</v>
      </c>
      <c r="D27" s="1">
        <v>522689.0</v>
      </c>
      <c r="E27" s="1">
        <v>105268.0</v>
      </c>
      <c r="F27" s="1" t="s">
        <v>355</v>
      </c>
    </row>
    <row r="28" ht="15.75" customHeight="1">
      <c r="A28" s="1">
        <v>27.0</v>
      </c>
      <c r="B28" s="1" t="s">
        <v>83</v>
      </c>
      <c r="C28" s="1" t="s">
        <v>356</v>
      </c>
      <c r="D28" s="1">
        <v>524224.0</v>
      </c>
      <c r="E28" s="1">
        <v>107864.0</v>
      </c>
      <c r="F28" s="1" t="s">
        <v>357</v>
      </c>
    </row>
    <row r="29" ht="15.75" customHeight="1">
      <c r="A29" s="1">
        <v>28.0</v>
      </c>
      <c r="B29" s="1" t="s">
        <v>358</v>
      </c>
      <c r="C29" s="1" t="s">
        <v>359</v>
      </c>
      <c r="D29" s="1">
        <v>524225.0</v>
      </c>
      <c r="E29" s="1">
        <v>107864.0</v>
      </c>
      <c r="F29" s="1" t="s">
        <v>360</v>
      </c>
    </row>
    <row r="30" ht="15.75" customHeight="1">
      <c r="A30" s="1">
        <v>29.0</v>
      </c>
      <c r="B30" s="1" t="s">
        <v>89</v>
      </c>
      <c r="C30" s="1" t="s">
        <v>361</v>
      </c>
      <c r="D30" s="1">
        <v>519045.0</v>
      </c>
      <c r="E30" s="1">
        <v>104297.0</v>
      </c>
      <c r="F30" s="1" t="s">
        <v>91</v>
      </c>
    </row>
    <row r="31" ht="15.75" customHeight="1">
      <c r="A31" s="1">
        <v>30.0</v>
      </c>
      <c r="B31" s="1" t="s">
        <v>362</v>
      </c>
      <c r="C31" s="1" t="s">
        <v>363</v>
      </c>
      <c r="D31" s="1">
        <v>515403.0</v>
      </c>
      <c r="E31" s="1">
        <v>99357.0</v>
      </c>
      <c r="F31" s="1" t="s">
        <v>364</v>
      </c>
    </row>
    <row r="32" ht="15.75" customHeight="1">
      <c r="A32" s="1">
        <v>31.0</v>
      </c>
      <c r="B32" s="1" t="s">
        <v>365</v>
      </c>
      <c r="C32" s="1" t="s">
        <v>366</v>
      </c>
      <c r="D32" s="1">
        <v>513155.0</v>
      </c>
      <c r="E32" s="1">
        <v>94962.0</v>
      </c>
      <c r="F32" s="1" t="s">
        <v>367</v>
      </c>
    </row>
    <row r="33" ht="15.75" customHeight="1">
      <c r="A33" s="1">
        <v>32.0</v>
      </c>
      <c r="B33" s="1" t="s">
        <v>98</v>
      </c>
      <c r="C33" s="1" t="s">
        <v>368</v>
      </c>
      <c r="D33" s="1">
        <v>513118.0</v>
      </c>
      <c r="E33" s="1">
        <v>9497.0</v>
      </c>
      <c r="F33" s="1" t="s">
        <v>369</v>
      </c>
    </row>
    <row r="34" ht="15.75" customHeight="1">
      <c r="A34" s="1">
        <v>33.0</v>
      </c>
      <c r="B34" s="1" t="s">
        <v>101</v>
      </c>
      <c r="C34" s="1" t="s">
        <v>370</v>
      </c>
      <c r="D34" s="1">
        <v>513116.0</v>
      </c>
      <c r="E34" s="1">
        <v>94797.0</v>
      </c>
      <c r="F34" s="1" t="s">
        <v>371</v>
      </c>
    </row>
    <row r="35" ht="15.75" customHeight="1">
      <c r="A35" s="1">
        <v>34.0</v>
      </c>
      <c r="B35" s="1" t="s">
        <v>104</v>
      </c>
      <c r="C35" s="1" t="s">
        <v>372</v>
      </c>
      <c r="D35" s="1">
        <v>509711.0</v>
      </c>
      <c r="E35" s="1">
        <v>103277.0</v>
      </c>
      <c r="F35" s="1" t="s">
        <v>373</v>
      </c>
    </row>
    <row r="36" ht="15.75" customHeight="1">
      <c r="A36" s="1">
        <v>35.0</v>
      </c>
      <c r="B36" s="1" t="s">
        <v>107</v>
      </c>
      <c r="C36" s="1" t="s">
        <v>374</v>
      </c>
      <c r="D36" s="1">
        <v>509848.0</v>
      </c>
      <c r="E36" s="1">
        <v>110299.0</v>
      </c>
      <c r="F36" s="1" t="s">
        <v>375</v>
      </c>
    </row>
    <row r="37" ht="15.75" customHeight="1">
      <c r="A37" s="1">
        <v>36.0</v>
      </c>
      <c r="B37" s="1" t="s">
        <v>110</v>
      </c>
      <c r="C37" s="1" t="s">
        <v>376</v>
      </c>
      <c r="D37" s="1">
        <v>509795.0</v>
      </c>
      <c r="E37" s="1">
        <v>11329.0</v>
      </c>
      <c r="F37" s="1" t="s">
        <v>377</v>
      </c>
    </row>
    <row r="38" ht="15.75" customHeight="1">
      <c r="A38" s="1">
        <v>37.0</v>
      </c>
      <c r="B38" s="1" t="s">
        <v>113</v>
      </c>
      <c r="C38" s="1" t="s">
        <v>378</v>
      </c>
      <c r="D38" s="1">
        <v>509793.0</v>
      </c>
      <c r="E38" s="1">
        <v>113292.0</v>
      </c>
      <c r="F38" s="1" t="s">
        <v>379</v>
      </c>
    </row>
    <row r="39" ht="15.75" customHeight="1">
      <c r="A39" s="1">
        <v>38.0</v>
      </c>
      <c r="B39" s="1" t="s">
        <v>116</v>
      </c>
      <c r="C39" s="1" t="s">
        <v>380</v>
      </c>
      <c r="D39" s="1">
        <v>505451.0</v>
      </c>
      <c r="E39" s="1">
        <v>112147.0</v>
      </c>
      <c r="F39" s="1" t="s">
        <v>381</v>
      </c>
    </row>
    <row r="40" ht="15.75" customHeight="1">
      <c r="A40" s="1">
        <v>39.0</v>
      </c>
      <c r="B40" s="1" t="s">
        <v>119</v>
      </c>
      <c r="C40" s="1" t="s">
        <v>382</v>
      </c>
      <c r="D40" s="1">
        <v>505477.0</v>
      </c>
      <c r="E40" s="1">
        <v>111681.0</v>
      </c>
      <c r="F40" s="1" t="s">
        <v>383</v>
      </c>
    </row>
    <row r="41" ht="15.75" customHeight="1">
      <c r="A41" s="1">
        <v>40.0</v>
      </c>
      <c r="B41" s="1" t="s">
        <v>122</v>
      </c>
      <c r="C41" s="1" t="s">
        <v>384</v>
      </c>
      <c r="D41" s="1">
        <v>502599.0</v>
      </c>
      <c r="E41" s="1">
        <v>109644.0</v>
      </c>
      <c r="F41" s="1" t="s">
        <v>385</v>
      </c>
    </row>
    <row r="42" ht="15.75" customHeight="1">
      <c r="A42" s="1">
        <v>41.0</v>
      </c>
      <c r="B42" s="1" t="s">
        <v>125</v>
      </c>
      <c r="C42" s="1" t="s">
        <v>386</v>
      </c>
      <c r="D42" s="1">
        <v>501011.0</v>
      </c>
      <c r="E42" s="1">
        <v>11438.0</v>
      </c>
      <c r="F42" s="1" t="s">
        <v>387</v>
      </c>
    </row>
    <row r="43" ht="15.75" customHeight="1">
      <c r="A43" s="1">
        <v>42.0</v>
      </c>
      <c r="B43" s="1" t="s">
        <v>128</v>
      </c>
      <c r="C43" s="1" t="s">
        <v>388</v>
      </c>
      <c r="D43" s="1">
        <v>501011.0</v>
      </c>
      <c r="E43" s="1">
        <v>11438.0</v>
      </c>
      <c r="F43" s="1" t="s">
        <v>389</v>
      </c>
    </row>
    <row r="44" ht="15.75" customHeight="1">
      <c r="A44" s="1">
        <v>43.0</v>
      </c>
      <c r="B44" s="1" t="s">
        <v>131</v>
      </c>
      <c r="C44" s="1" t="s">
        <v>390</v>
      </c>
      <c r="D44" s="1">
        <v>499487.0</v>
      </c>
      <c r="E44" s="1">
        <v>11576.0</v>
      </c>
      <c r="F44" s="1" t="s">
        <v>391</v>
      </c>
    </row>
    <row r="45" ht="15.75" customHeight="1">
      <c r="A45" s="1">
        <v>44.0</v>
      </c>
      <c r="B45" s="1" t="s">
        <v>134</v>
      </c>
      <c r="C45" s="1" t="s">
        <v>392</v>
      </c>
      <c r="D45" s="1">
        <v>499451.0</v>
      </c>
      <c r="E45" s="1">
        <v>115908.0</v>
      </c>
      <c r="F45" s="1" t="s">
        <v>393</v>
      </c>
    </row>
    <row r="46" ht="15.75" customHeight="1">
      <c r="A46" s="1">
        <v>45.0</v>
      </c>
      <c r="B46" s="1" t="s">
        <v>394</v>
      </c>
      <c r="C46" s="1" t="s">
        <v>395</v>
      </c>
      <c r="D46" s="1">
        <v>497631.0</v>
      </c>
      <c r="E46" s="1">
        <v>114062.0</v>
      </c>
      <c r="F46" s="1" t="s">
        <v>396</v>
      </c>
    </row>
    <row r="47" ht="15.75" customHeight="1">
      <c r="A47" s="1">
        <v>46.0</v>
      </c>
      <c r="B47" s="1" t="s">
        <v>140</v>
      </c>
      <c r="C47" s="1" t="s">
        <v>397</v>
      </c>
      <c r="D47" s="1">
        <v>498917.0</v>
      </c>
      <c r="E47" s="1">
        <v>108852.0</v>
      </c>
      <c r="F47" s="1" t="s">
        <v>398</v>
      </c>
    </row>
    <row r="48" ht="15.75" customHeight="1">
      <c r="A48" s="1">
        <v>47.0</v>
      </c>
      <c r="B48" s="1" t="s">
        <v>143</v>
      </c>
      <c r="C48" s="1" t="s">
        <v>399</v>
      </c>
      <c r="D48" s="1">
        <v>494542.0</v>
      </c>
      <c r="E48" s="1">
        <v>110773.0</v>
      </c>
      <c r="F48" s="1" t="s">
        <v>400</v>
      </c>
    </row>
    <row r="49" ht="15.75" customHeight="1">
      <c r="A49" s="1">
        <v>48.0</v>
      </c>
      <c r="B49" s="1" t="s">
        <v>146</v>
      </c>
      <c r="C49" s="1" t="s">
        <v>401</v>
      </c>
      <c r="D49" s="1">
        <v>494528.0</v>
      </c>
      <c r="E49" s="1">
        <v>11078.0</v>
      </c>
      <c r="F49" s="1" t="s">
        <v>402</v>
      </c>
    </row>
    <row r="50" ht="15.75" customHeight="1">
      <c r="A50" s="1">
        <v>49.0</v>
      </c>
      <c r="B50" s="1" t="s">
        <v>149</v>
      </c>
      <c r="C50" s="1" t="s">
        <v>403</v>
      </c>
      <c r="D50" s="1">
        <v>48765.0</v>
      </c>
      <c r="E50" s="1">
        <v>114257.0</v>
      </c>
      <c r="F50" s="1" t="s">
        <v>404</v>
      </c>
    </row>
    <row r="51" ht="15.75" customHeight="1">
      <c r="A51" s="1">
        <v>50.0</v>
      </c>
      <c r="B51" s="1" t="s">
        <v>405</v>
      </c>
      <c r="C51" s="1" t="s">
        <v>406</v>
      </c>
      <c r="D51" s="1">
        <v>482188.0</v>
      </c>
      <c r="E51" s="1">
        <v>116247.0</v>
      </c>
      <c r="F51" s="1" t="s">
        <v>407</v>
      </c>
    </row>
    <row r="52" ht="15.75" customHeight="1">
      <c r="A52" s="1">
        <v>51.0</v>
      </c>
      <c r="B52" s="1" t="s">
        <v>155</v>
      </c>
      <c r="C52" s="1" t="s">
        <v>408</v>
      </c>
      <c r="D52" s="1">
        <v>48174.0</v>
      </c>
      <c r="E52" s="1">
        <v>11546.0</v>
      </c>
      <c r="F52" s="1" t="s">
        <v>409</v>
      </c>
    </row>
    <row r="53" ht="15.75" customHeight="1">
      <c r="A53" s="1">
        <v>52.0</v>
      </c>
      <c r="B53" s="1" t="s">
        <v>158</v>
      </c>
      <c r="C53" s="1" t="s">
        <v>410</v>
      </c>
      <c r="D53" s="1">
        <v>4815.0</v>
      </c>
      <c r="E53" s="1">
        <v>1158.0</v>
      </c>
      <c r="F53" s="1" t="s">
        <v>411</v>
      </c>
    </row>
    <row r="54" ht="15.75" customHeight="1">
      <c r="A54" s="1">
        <v>53.0</v>
      </c>
      <c r="B54" s="1" t="s">
        <v>161</v>
      </c>
      <c r="C54" s="1" t="s">
        <v>412</v>
      </c>
      <c r="D54" s="1">
        <v>481312.0</v>
      </c>
      <c r="E54" s="1">
        <v>115497.0</v>
      </c>
      <c r="F54" s="1" t="s">
        <v>413</v>
      </c>
    </row>
    <row r="55" ht="15.75" customHeight="1">
      <c r="A55" s="1">
        <v>54.0</v>
      </c>
      <c r="B55" s="1" t="s">
        <v>164</v>
      </c>
      <c r="C55" s="1" t="s">
        <v>414</v>
      </c>
      <c r="D55" s="1">
        <v>475576.0</v>
      </c>
      <c r="E55" s="1">
        <v>107498.0</v>
      </c>
      <c r="F55" s="1" t="s">
        <v>415</v>
      </c>
    </row>
    <row r="56" ht="15.75" customHeight="1">
      <c r="A56" s="1">
        <v>55.0</v>
      </c>
      <c r="B56" s="1" t="s">
        <v>167</v>
      </c>
      <c r="C56" s="1" t="s">
        <v>416</v>
      </c>
      <c r="D56" s="1">
        <v>476514.0</v>
      </c>
      <c r="E56" s="1">
        <v>9478.0</v>
      </c>
      <c r="F56" s="1" t="s">
        <v>417</v>
      </c>
    </row>
    <row r="57" ht="15.75" customHeight="1">
      <c r="A57" s="1">
        <v>56.0</v>
      </c>
      <c r="B57" s="1" t="s">
        <v>170</v>
      </c>
      <c r="C57" s="1" t="s">
        <v>418</v>
      </c>
      <c r="D57" s="1">
        <v>484011.0</v>
      </c>
      <c r="E57" s="1">
        <v>99876.0</v>
      </c>
      <c r="F57" s="1" t="s">
        <v>419</v>
      </c>
    </row>
    <row r="58" ht="15.75" customHeight="1">
      <c r="A58" s="1">
        <v>57.0</v>
      </c>
      <c r="B58" s="1" t="s">
        <v>173</v>
      </c>
      <c r="C58" s="1" t="s">
        <v>420</v>
      </c>
      <c r="D58" s="1">
        <v>487904.0</v>
      </c>
      <c r="E58" s="1">
        <v>92183.0</v>
      </c>
      <c r="F58" s="1" t="s">
        <v>421</v>
      </c>
    </row>
    <row r="59" ht="15.75" customHeight="1">
      <c r="A59" s="1">
        <v>58.0</v>
      </c>
      <c r="B59" s="1" t="s">
        <v>422</v>
      </c>
      <c r="C59" s="1" t="s">
        <v>422</v>
      </c>
      <c r="D59" s="1">
        <v>494106.0</v>
      </c>
      <c r="E59" s="1">
        <v>87151.0</v>
      </c>
      <c r="F59" s="1" t="s">
        <v>423</v>
      </c>
    </row>
    <row r="60" ht="15.75" customHeight="1">
      <c r="A60" s="1">
        <v>59.0</v>
      </c>
      <c r="B60" s="1" t="s">
        <v>178</v>
      </c>
      <c r="C60" s="1" t="s">
        <v>424</v>
      </c>
      <c r="D60" s="1">
        <v>494875.0</v>
      </c>
      <c r="E60" s="1">
        <v>8466.0</v>
      </c>
      <c r="F60" s="1" t="s">
        <v>425</v>
      </c>
    </row>
    <row r="61" ht="15.75" customHeight="1">
      <c r="A61" s="1">
        <v>60.0</v>
      </c>
      <c r="B61" s="1" t="s">
        <v>181</v>
      </c>
      <c r="C61" s="1" t="s">
        <v>426</v>
      </c>
      <c r="D61" s="1">
        <v>497913.0</v>
      </c>
      <c r="E61" s="1">
        <v>99534.0</v>
      </c>
      <c r="F61" s="1" t="s">
        <v>427</v>
      </c>
    </row>
    <row r="62" ht="15.75" customHeight="1">
      <c r="A62" s="1">
        <v>61.0</v>
      </c>
      <c r="B62" s="1" t="s">
        <v>428</v>
      </c>
      <c r="C62" s="1" t="s">
        <v>429</v>
      </c>
      <c r="D62" s="1">
        <v>481275.0</v>
      </c>
      <c r="E62" s="1">
        <v>82364.0</v>
      </c>
      <c r="F62" s="1" t="s">
        <v>430</v>
      </c>
    </row>
    <row r="63" ht="15.75" customHeight="1">
      <c r="A63" s="1">
        <v>62.0</v>
      </c>
      <c r="B63" s="1" t="s">
        <v>187</v>
      </c>
      <c r="C63" s="1" t="s">
        <v>431</v>
      </c>
      <c r="D63" s="1">
        <v>507753.0</v>
      </c>
      <c r="E63" s="1">
        <v>60839.0</v>
      </c>
      <c r="F63" s="1" t="s">
        <v>432</v>
      </c>
    </row>
    <row r="64" ht="15.75" customHeight="1">
      <c r="A64" s="1">
        <v>63.0</v>
      </c>
      <c r="B64" s="1" t="s">
        <v>190</v>
      </c>
      <c r="C64" s="1" t="s">
        <v>433</v>
      </c>
      <c r="D64" s="1">
        <v>50776.0</v>
      </c>
      <c r="E64" s="1">
        <v>60839.0</v>
      </c>
      <c r="F64" s="1" t="s">
        <v>434</v>
      </c>
    </row>
    <row r="65" ht="15.75" customHeight="1">
      <c r="A65" s="1">
        <v>64.0</v>
      </c>
      <c r="B65" s="1" t="s">
        <v>193</v>
      </c>
      <c r="C65" s="1" t="s">
        <v>435</v>
      </c>
      <c r="D65" s="1">
        <v>515281.0</v>
      </c>
      <c r="E65" s="1">
        <v>115487.0</v>
      </c>
      <c r="F65" s="1" t="s">
        <v>436</v>
      </c>
    </row>
    <row r="66" ht="15.75" customHeight="1">
      <c r="A66" s="1">
        <v>65.0</v>
      </c>
      <c r="B66" s="1" t="s">
        <v>437</v>
      </c>
      <c r="C66" s="1" t="s">
        <v>438</v>
      </c>
      <c r="D66" s="1">
        <v>518349.0</v>
      </c>
      <c r="E66" s="1">
        <v>122424.0</v>
      </c>
      <c r="F66" s="1" t="s">
        <v>439</v>
      </c>
    </row>
    <row r="67" ht="15.75" customHeight="1">
      <c r="A67" s="1">
        <v>66.0</v>
      </c>
      <c r="B67" s="1" t="s">
        <v>440</v>
      </c>
      <c r="C67" s="1" t="s">
        <v>441</v>
      </c>
      <c r="D67" s="1">
        <v>518367.0</v>
      </c>
      <c r="E67" s="1">
        <v>122428.0</v>
      </c>
      <c r="F67" s="1" t="s">
        <v>442</v>
      </c>
    </row>
    <row r="68" ht="15.75" customHeight="1">
      <c r="A68" s="1">
        <v>67.0</v>
      </c>
      <c r="B68" s="1" t="s">
        <v>202</v>
      </c>
      <c r="C68" s="1" t="s">
        <v>443</v>
      </c>
      <c r="D68" s="1">
        <v>518661.0</v>
      </c>
      <c r="E68" s="1">
        <v>126477.0</v>
      </c>
      <c r="F68" s="1" t="s">
        <v>444</v>
      </c>
    </row>
    <row r="69" ht="15.75" customHeight="1">
      <c r="A69" s="1">
        <v>68.0</v>
      </c>
      <c r="B69" s="1" t="s">
        <v>205</v>
      </c>
      <c r="C69" s="1" t="s">
        <v>445</v>
      </c>
      <c r="D69" s="1">
        <v>513393.0</v>
      </c>
      <c r="E69" s="1">
        <v>123747.0</v>
      </c>
      <c r="F69" s="1" t="s">
        <v>446</v>
      </c>
    </row>
    <row r="70" ht="15.75" customHeight="1">
      <c r="A70" s="1">
        <v>69.0</v>
      </c>
      <c r="B70" s="1" t="s">
        <v>208</v>
      </c>
      <c r="C70" s="1" t="s">
        <v>447</v>
      </c>
      <c r="D70" s="1">
        <v>513388.0</v>
      </c>
      <c r="E70" s="1">
        <v>123723.0</v>
      </c>
      <c r="F70" s="1" t="s">
        <v>210</v>
      </c>
    </row>
    <row r="71" ht="15.75" customHeight="1">
      <c r="A71" s="1">
        <v>70.0</v>
      </c>
      <c r="B71" s="1" t="s">
        <v>448</v>
      </c>
      <c r="C71" s="1" t="s">
        <v>449</v>
      </c>
      <c r="D71" s="1">
        <v>513128.0</v>
      </c>
      <c r="E71" s="1">
        <v>124134.0</v>
      </c>
      <c r="F71" s="1" t="s">
        <v>450</v>
      </c>
    </row>
    <row r="72" ht="15.75" customHeight="1">
      <c r="A72" s="1">
        <v>71.0</v>
      </c>
      <c r="B72" s="1" t="s">
        <v>451</v>
      </c>
      <c r="C72" s="1" t="s">
        <v>452</v>
      </c>
      <c r="D72" s="1">
        <v>511642.0</v>
      </c>
      <c r="E72" s="1">
        <v>134827.0</v>
      </c>
      <c r="F72" s="1" t="s">
        <v>453</v>
      </c>
    </row>
    <row r="73" ht="15.75" customHeight="1">
      <c r="A73" s="1">
        <v>72.0</v>
      </c>
      <c r="B73" s="1" t="s">
        <v>217</v>
      </c>
      <c r="C73" s="1" t="s">
        <v>454</v>
      </c>
      <c r="D73" s="1">
        <v>523948.0</v>
      </c>
      <c r="E73" s="1">
        <v>130644.0</v>
      </c>
      <c r="F73" s="1" t="s">
        <v>455</v>
      </c>
    </row>
    <row r="74" ht="15.75" customHeight="1">
      <c r="A74" s="1">
        <v>73.0</v>
      </c>
      <c r="B74" s="1" t="s">
        <v>456</v>
      </c>
      <c r="C74" s="1" t="s">
        <v>457</v>
      </c>
      <c r="D74" s="1">
        <v>523969.0</v>
      </c>
      <c r="E74" s="1">
        <v>130586.0</v>
      </c>
      <c r="F74" s="1" t="s">
        <v>458</v>
      </c>
    </row>
    <row r="75" ht="15.75" customHeight="1">
      <c r="A75" s="1">
        <v>74.0</v>
      </c>
      <c r="B75" s="1" t="s">
        <v>223</v>
      </c>
      <c r="C75" s="1" t="s">
        <v>459</v>
      </c>
      <c r="D75" s="1">
        <v>524039.0</v>
      </c>
      <c r="E75" s="1">
        <v>130682.0</v>
      </c>
      <c r="F75" s="1" t="s">
        <v>460</v>
      </c>
    </row>
    <row r="76" ht="15.75" customHeight="1">
      <c r="A76" s="1">
        <v>75.0</v>
      </c>
      <c r="B76" s="1" t="s">
        <v>461</v>
      </c>
      <c r="C76" s="1" t="s">
        <v>462</v>
      </c>
      <c r="D76" s="1">
        <v>524731.0</v>
      </c>
      <c r="E76" s="1">
        <v>13403.0</v>
      </c>
      <c r="F76" s="1" t="s">
        <v>463</v>
      </c>
    </row>
    <row r="77" ht="15.75" customHeight="1">
      <c r="A77" s="1">
        <v>76.0</v>
      </c>
      <c r="B77" s="1" t="s">
        <v>229</v>
      </c>
      <c r="C77" s="1" t="s">
        <v>464</v>
      </c>
      <c r="D77" s="1">
        <v>525076.0</v>
      </c>
      <c r="E77" s="1">
        <v>133904.0</v>
      </c>
      <c r="F77" s="1" t="s">
        <v>465</v>
      </c>
    </row>
    <row r="78" ht="15.75" customHeight="1">
      <c r="A78" s="1">
        <v>77.0</v>
      </c>
      <c r="B78" s="1" t="s">
        <v>232</v>
      </c>
      <c r="C78" s="1" t="s">
        <v>466</v>
      </c>
      <c r="D78" s="1">
        <v>525163.0</v>
      </c>
      <c r="E78" s="1">
        <v>133777.0</v>
      </c>
      <c r="F78" s="1" t="s">
        <v>234</v>
      </c>
    </row>
    <row r="79" ht="15.75" customHeight="1">
      <c r="A79" s="1">
        <v>78.0</v>
      </c>
      <c r="B79" s="1" t="s">
        <v>235</v>
      </c>
      <c r="C79" s="1" t="s">
        <v>467</v>
      </c>
      <c r="D79" s="1">
        <v>525114.0</v>
      </c>
      <c r="E79" s="1">
        <v>13439.0</v>
      </c>
      <c r="F79" s="1" t="s">
        <v>468</v>
      </c>
    </row>
    <row r="80" ht="15.75" customHeight="1">
      <c r="A80" s="1">
        <v>79.0</v>
      </c>
      <c r="B80" s="1" t="s">
        <v>238</v>
      </c>
      <c r="C80" s="1" t="s">
        <v>469</v>
      </c>
      <c r="D80" s="1">
        <v>525045.0</v>
      </c>
      <c r="E80" s="1">
        <v>134408.0</v>
      </c>
      <c r="F80" s="1" t="s">
        <v>470</v>
      </c>
    </row>
    <row r="81" ht="15.75" customHeight="1">
      <c r="A81" s="1">
        <v>80.0</v>
      </c>
      <c r="B81" s="1" t="s">
        <v>241</v>
      </c>
      <c r="C81" s="1" t="s">
        <v>471</v>
      </c>
      <c r="D81" s="1">
        <v>53125.0</v>
      </c>
      <c r="E81" s="1">
        <v>13093.0</v>
      </c>
      <c r="F81" s="1" t="s">
        <v>472</v>
      </c>
    </row>
    <row r="82" ht="15.75" customHeight="1">
      <c r="A82" s="1">
        <v>81.0</v>
      </c>
      <c r="B82" s="1" t="s">
        <v>244</v>
      </c>
      <c r="C82" s="1" t="s">
        <v>473</v>
      </c>
      <c r="D82" s="1">
        <v>530913.0</v>
      </c>
      <c r="E82" s="1">
        <v>129084.0</v>
      </c>
      <c r="F82" s="1" t="s">
        <v>474</v>
      </c>
    </row>
    <row r="83" ht="15.75" customHeight="1">
      <c r="A83" s="1">
        <v>82.0</v>
      </c>
      <c r="B83" s="1" t="s">
        <v>475</v>
      </c>
      <c r="C83" s="1" t="s">
        <v>476</v>
      </c>
      <c r="D83" s="1">
        <v>535211.0</v>
      </c>
      <c r="E83" s="1">
        <v>126801.0</v>
      </c>
      <c r="F83" s="1" t="s">
        <v>477</v>
      </c>
    </row>
    <row r="84" ht="15.75" customHeight="1">
      <c r="A84" s="1">
        <v>83.0</v>
      </c>
      <c r="B84" s="1" t="s">
        <v>250</v>
      </c>
      <c r="C84" s="1" t="s">
        <v>478</v>
      </c>
      <c r="D84" s="1">
        <v>540865.0</v>
      </c>
      <c r="E84" s="1">
        <v>121095.0</v>
      </c>
      <c r="F84" s="1" t="s">
        <v>479</v>
      </c>
    </row>
    <row r="85" ht="15.75" customHeight="1">
      <c r="A85" s="1">
        <v>84.0</v>
      </c>
      <c r="B85" s="1" t="s">
        <v>253</v>
      </c>
      <c r="C85" s="1" t="s">
        <v>480</v>
      </c>
      <c r="D85" s="1">
        <v>543996.0</v>
      </c>
      <c r="E85" s="1">
        <v>124539.0</v>
      </c>
      <c r="F85" s="1" t="s">
        <v>481</v>
      </c>
    </row>
    <row r="86" ht="15.75" customHeight="1">
      <c r="A86" s="1">
        <v>85.0</v>
      </c>
      <c r="B86" s="1" t="s">
        <v>256</v>
      </c>
      <c r="C86" s="1" t="s">
        <v>482</v>
      </c>
      <c r="D86" s="1">
        <v>543126.0</v>
      </c>
      <c r="E86" s="1">
        <v>130929.0</v>
      </c>
      <c r="F86" s="1" t="s">
        <v>258</v>
      </c>
    </row>
    <row r="87" ht="15.75" customHeight="1">
      <c r="A87" s="1">
        <v>86.0</v>
      </c>
      <c r="B87" s="1" t="s">
        <v>259</v>
      </c>
      <c r="C87" s="1" t="s">
        <v>483</v>
      </c>
      <c r="D87" s="1">
        <v>540924.0</v>
      </c>
      <c r="E87" s="1">
        <v>134022.0</v>
      </c>
      <c r="F87" s="1" t="s">
        <v>484</v>
      </c>
    </row>
    <row r="88" ht="15.75" customHeight="1">
      <c r="A88" s="1">
        <v>87.0</v>
      </c>
      <c r="B88" s="1" t="s">
        <v>262</v>
      </c>
      <c r="C88" s="1" t="s">
        <v>485</v>
      </c>
      <c r="D88" s="1">
        <v>545406.0</v>
      </c>
      <c r="E88" s="1">
        <v>135747.0</v>
      </c>
      <c r="F88" s="1" t="s">
        <v>486</v>
      </c>
    </row>
    <row r="89" ht="15.75" customHeight="1">
      <c r="A89" s="1">
        <v>88.0</v>
      </c>
      <c r="B89" s="1" t="s">
        <v>487</v>
      </c>
      <c r="C89" s="1" t="s">
        <v>488</v>
      </c>
      <c r="D89" s="1">
        <v>540536.0</v>
      </c>
      <c r="E89" s="1">
        <v>142743.0</v>
      </c>
      <c r="F89" s="1" t="s">
        <v>489</v>
      </c>
    </row>
    <row r="90" ht="15.75" customHeight="1">
      <c r="A90" s="1">
        <v>89.0</v>
      </c>
      <c r="B90" s="1" t="s">
        <v>268</v>
      </c>
      <c r="C90" s="1" t="s">
        <v>490</v>
      </c>
      <c r="D90" s="1">
        <v>538923.0</v>
      </c>
      <c r="E90" s="1">
        <v>114628.0</v>
      </c>
      <c r="F90" s="1" t="s">
        <v>491</v>
      </c>
    </row>
    <row r="91" ht="15.75" customHeight="1">
      <c r="A91" s="1">
        <v>90.0</v>
      </c>
      <c r="B91" s="1" t="s">
        <v>492</v>
      </c>
      <c r="C91" s="1" t="s">
        <v>492</v>
      </c>
      <c r="D91" s="1">
        <v>536294.0</v>
      </c>
      <c r="E91" s="1">
        <v>114154.0</v>
      </c>
      <c r="F91" s="1" t="s">
        <v>493</v>
      </c>
    </row>
    <row r="92" ht="15.75" customHeight="1">
      <c r="A92" s="1">
        <v>91.0</v>
      </c>
      <c r="B92" s="1" t="s">
        <v>273</v>
      </c>
      <c r="C92" s="1" t="s">
        <v>494</v>
      </c>
      <c r="D92" s="1">
        <v>538683.0</v>
      </c>
      <c r="E92" s="1">
        <v>106873.0</v>
      </c>
      <c r="F92" s="1" t="s">
        <v>495</v>
      </c>
    </row>
    <row r="93" ht="15.75" customHeight="1">
      <c r="A93" s="1">
        <v>92.0</v>
      </c>
      <c r="B93" s="1" t="s">
        <v>276</v>
      </c>
      <c r="C93" s="1" t="s">
        <v>496</v>
      </c>
      <c r="D93" s="1">
        <v>535496.0</v>
      </c>
      <c r="E93" s="1">
        <v>99882.0</v>
      </c>
      <c r="F93" s="1" t="s">
        <v>497</v>
      </c>
    </row>
    <row r="94" ht="15.75" customHeight="1">
      <c r="A94" s="1">
        <v>93.0</v>
      </c>
      <c r="B94" s="1" t="s">
        <v>279</v>
      </c>
      <c r="C94" s="1" t="s">
        <v>498</v>
      </c>
      <c r="D94" s="1">
        <v>535411.0</v>
      </c>
      <c r="E94" s="1">
        <v>99847.0</v>
      </c>
      <c r="F94" s="1" t="s">
        <v>499</v>
      </c>
    </row>
    <row r="95" ht="15.75" customHeight="1">
      <c r="A95" s="1">
        <v>94.0</v>
      </c>
      <c r="B95" s="1" t="s">
        <v>282</v>
      </c>
      <c r="C95" s="1" t="s">
        <v>500</v>
      </c>
      <c r="D95" s="1">
        <v>535462.0</v>
      </c>
      <c r="E95" s="1">
        <v>99667.0</v>
      </c>
      <c r="F95" s="1" t="s">
        <v>501</v>
      </c>
    </row>
    <row r="96" ht="15.75" customHeight="1">
      <c r="A96" s="1">
        <v>95.0</v>
      </c>
      <c r="B96" s="1" t="s">
        <v>285</v>
      </c>
      <c r="C96" s="1" t="s">
        <v>502</v>
      </c>
      <c r="D96" s="1">
        <v>535503.0</v>
      </c>
      <c r="E96" s="1">
        <v>99668.0</v>
      </c>
      <c r="F96" s="1" t="s">
        <v>503</v>
      </c>
    </row>
    <row r="97" ht="15.75" customHeight="1">
      <c r="A97" s="1">
        <v>96.0</v>
      </c>
      <c r="B97" s="1" t="s">
        <v>288</v>
      </c>
      <c r="C97" s="1" t="s">
        <v>504</v>
      </c>
      <c r="D97" s="1">
        <v>543215.0</v>
      </c>
      <c r="E97" s="1">
        <v>10131.0</v>
      </c>
      <c r="F97" s="1" t="s">
        <v>505</v>
      </c>
    </row>
    <row r="98" ht="15.75" customHeight="1">
      <c r="A98" s="1">
        <v>97.0</v>
      </c>
      <c r="B98" s="1" t="s">
        <v>291</v>
      </c>
      <c r="C98" s="1" t="s">
        <v>506</v>
      </c>
      <c r="D98" s="1">
        <v>543233.0</v>
      </c>
      <c r="E98" s="1">
        <v>10139.0</v>
      </c>
      <c r="F98" s="1" t="s">
        <v>507</v>
      </c>
    </row>
    <row r="99" ht="15.75" customHeight="1">
      <c r="A99" s="1">
        <v>98.0</v>
      </c>
      <c r="B99" s="1" t="s">
        <v>294</v>
      </c>
      <c r="C99" s="1" t="s">
        <v>508</v>
      </c>
      <c r="D99" s="1">
        <v>543433.0</v>
      </c>
      <c r="E99" s="1">
        <v>101247.0</v>
      </c>
      <c r="F99" s="1" t="s">
        <v>509</v>
      </c>
    </row>
    <row r="100" ht="15.75" customHeight="1">
      <c r="A100" s="1">
        <v>99.0</v>
      </c>
      <c r="B100" s="1" t="s">
        <v>297</v>
      </c>
      <c r="C100" s="1" t="s">
        <v>510</v>
      </c>
      <c r="D100" s="1">
        <v>549063.0</v>
      </c>
      <c r="E100" s="1">
        <v>83028.0</v>
      </c>
      <c r="F100" s="1" t="s">
        <v>511</v>
      </c>
    </row>
    <row r="101" ht="15.75" customHeight="1">
      <c r="A101" s="1">
        <v>100.0</v>
      </c>
      <c r="B101" s="1" t="s">
        <v>300</v>
      </c>
      <c r="C101" s="1" t="s">
        <v>512</v>
      </c>
      <c r="D101" s="1">
        <v>521317.0</v>
      </c>
      <c r="E101" s="1">
        <v>116394.0</v>
      </c>
      <c r="F101" s="1" t="s">
        <v>513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7" right="0.7" top="0.787401575"/>
  <pageSetup orientation="landscape"/>
  <drawing r:id="rId1"/>
</worksheet>
</file>