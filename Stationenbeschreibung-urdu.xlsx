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3" sheetId="1" r:id="rId4"/>
    <sheet state="visible" name="Tabelle2" sheetId="2" r:id="rId5"/>
    <sheet state="visible" name="Tabelle1" sheetId="3" r:id="rId6"/>
  </sheets>
  <definedNames>
    <definedName localSheetId="0" name="ExterneDaten_2">Tabelle3!$A$1:$F$101</definedName>
    <definedName localSheetId="1" name="ExterneDaten_1">Tabelle2!$A$1:$F$101</definedName>
  </definedNames>
  <calcPr/>
</workbook>
</file>

<file path=xl/sharedStrings.xml><?xml version="1.0" encoding="utf-8"?>
<sst xmlns="http://schemas.openxmlformats.org/spreadsheetml/2006/main" count="612" uniqueCount="514">
  <si>
    <t>Nr</t>
  </si>
  <si>
    <t>Station</t>
  </si>
  <si>
    <t>Ort</t>
  </si>
  <si>
    <t>Latitude</t>
  </si>
  <si>
    <t>Longitude</t>
  </si>
  <si>
    <t>Erklärung</t>
  </si>
  <si>
    <t>Main Tower</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</si>
  <si>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</si>
  <si>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</si>
  <si>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Finanzmetropole</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</si>
  <si>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</si>
  <si>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</si>
  <si>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Kurtradition</t>
  </si>
  <si>
    <t>Wiesbaden – Kurhaus</t>
  </si>
  <si>
    <t>Wiesbaden gilt seit dem 19. Jahrhundert als mondäne Kurstadt. Das neoklassizistische Kurhaus von 1907, Thermalquellen und weitläufige Kurparks spiegeln bis heute die historische Wellness-Kultur wider.</t>
  </si>
  <si>
    <t>Johannes Gutenberg</t>
  </si>
  <si>
    <t>Mainz – Gutenberg-Museum</t>
  </si>
  <si>
    <t>Johannes Gutenberg revolutionierte um 1450 in Mainz den Buchdruck mit beweglichen Lettern. Das Gutenberg-Museum zeigt u. a. zwei Gutenberg-Bibeln und demonstriert an historischen Pressen die Technik, die das Lesen weltweit veränderte.</t>
  </si>
  <si>
    <t>Weinfest</t>
  </si>
  <si>
    <t>Rüdesheim – Drosselgasse</t>
  </si>
  <si>
    <t>Die Drosselgasse in Rüdesheim ist eine 144 Meter lange Fachwerkgasse voller Weinstuben. Ihre Weinfeste mit Live-Musik repräsentieren die gesellige Rheingauer Weinkultur.</t>
  </si>
  <si>
    <t>Helene Fischer</t>
  </si>
  <si>
    <t>Wöllstein – Geburtsort</t>
  </si>
  <si>
    <t>Helene Fischer (*1984) wuchs in Wöllstein auf und wurde zur erfolgreichsten deutschen Schlagersängerin. Hits wie „Atemlos durch die Nacht“ und zahlreiche Auszeichnungen prägen ihre Karriere.</t>
  </si>
  <si>
    <t>Loreley</t>
  </si>
  <si>
    <t>St. Goar – Loreleyfelsen</t>
  </si>
  <si>
    <t>Der 132 Meter hohe Loreley-Felsen am Rhein ist sagenumwoben: Eine Nixe soll mit ihrem Gesang Schiffer ins Verderben gelockt haben. Heute ist der Aussichtspunkt Teil des UNESCO-Welterbes Oberes Mittelrheintal.</t>
  </si>
  <si>
    <t>Weinbau</t>
  </si>
  <si>
    <t>Boppard – Rheinschleife</t>
  </si>
  <si>
    <t>An der Rheinschleife bei Boppard wachsen auf steilen Schieferhängen Riesling-Reben. Der Bopparder Hamm dokumentiert seit Jahrhunderten die Weinbautradition des Mittelrheins.</t>
  </si>
  <si>
    <t>Deutsches Eck</t>
  </si>
  <si>
    <t>Koblenz – Deutsches Eck</t>
  </si>
  <si>
    <t>Am Deutschen Eck fließen Mosel und Rhein zusammen. Das Reiterstandbild Kaiser Wilhelms I. (1897) erinnert an die Reichsgründung und wurde nach 1945 zum Symbol der deutschen Einheit.</t>
  </si>
  <si>
    <t>Autobahn Erlebnis</t>
  </si>
  <si>
    <t>Nürburgring – GP-Strecke</t>
  </si>
  <si>
    <t>Deutschlands Autobahnen sind für fehlende Tempolimits bekannt. Auf der Nordschleife des Nürburgrings können Fahrer Hochgeschwindigkeit legal erleben – ein kontrolliertes Pendant zum Autobahnrausch.</t>
  </si>
  <si>
    <t>Beethoven</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</si>
  <si>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</si>
  <si>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</si>
  <si>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</si>
  <si>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</si>
  <si>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</si>
  <si>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Konrad Adenauer</t>
  </si>
  <si>
    <t>Köln – Adenauer-Haus</t>
  </si>
  <si>
    <t>Konrad Adenauer (1876–1967) war Kölner Oberbürgermeister und erster Bundeskanzler der Bundesrepublik. Sein Wohnhaus in Rhöndorf erzählt von seinem Einsatz für Wiederaufbau und Westbindung.</t>
  </si>
  <si>
    <t>Neandertaler Fund</t>
  </si>
  <si>
    <t>Mettmann – Neanderthal Museum</t>
  </si>
  <si>
    <t>Der 1856 gefundene Neandertaler-Schädel revolutionierte das Verständnis menschlicher Evolution. Das Neanderthal Museum veranschaulicht die Geschichte unserer fossilen Verwandten.</t>
  </si>
  <si>
    <t>Rheinmetropole</t>
  </si>
  <si>
    <t>Düsseldorf – Rheinturm</t>
  </si>
  <si>
    <t>Düsseldorf verbindet Altstadt, Mode- und Messekultur mit moderner Architektur im Medienhafen. Der Rheinturm bietet einen Panoramablick auf die Rheinmetropole und ihre Kunst- und Shopping-Szene.</t>
  </si>
  <si>
    <t>Stahl &amp; Kultur</t>
  </si>
  <si>
    <t>Duisburg – Innenhafen</t>
  </si>
  <si>
    <t>Der Duisburger Innenhafen, einst Speicher- und Handelshafen, wurde zum Kultur- und Büroquartier umgestaltet. Restaurierte Speicher und Museen zeigen den erfolgreichen Strukturwandel von Stahl zu Kultur.</t>
  </si>
  <si>
    <t>Ruhrindustrie</t>
  </si>
  <si>
    <t>Essen – Zeche Zollverein</t>
  </si>
  <si>
    <t>Die stillgelegte Zeche Zollverein, ein Bauhaus-Industrie-Ensemble, ist UNESCO-Welterbe. Ausstellungen und Events lassen die Bergbaugeschichte des Ruhrgebiets lebendig werden.</t>
  </si>
  <si>
    <t>UNESCO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</si>
  <si>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</si>
  <si>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</si>
  <si>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</si>
  <si>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</si>
  <si>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</si>
  <si>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</si>
  <si>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</si>
  <si>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</si>
  <si>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Teutoburger Wald</t>
  </si>
  <si>
    <t>Bielefeld – Sparrenburg</t>
  </si>
  <si>
    <t>Die mittelalterliche Sparrenburg überragt Bielefeld am Rand des Teutoburger Waldes, der durch die Varusschlacht (9 n. Chr.) historisch bekannt ist.</t>
  </si>
  <si>
    <t>Moderne Stadt</t>
  </si>
  <si>
    <t>Hannover – Neues Rathaus</t>
  </si>
  <si>
    <t>Hannovers wilhelminisches Neues Rathaus (1913) symbolisiert den Wiederaufbau der Stadt, die heute Messestandort und grüne Großstadt mit den Herrenhäuser Gärten ist.</t>
  </si>
  <si>
    <t>Hannah Arendt</t>
  </si>
  <si>
    <t>Hannover – H.-Arendt-Platz</t>
  </si>
  <si>
    <t>Die politische Theoretikerin Hannah Arendt (1906–1975) wurde in Hannover geboren. Der Hannah-Arendt-Platz mahnt an Demokratie, Freiheit und Verantwortung.</t>
  </si>
  <si>
    <t>Expo 2000</t>
  </si>
  <si>
    <t>Hannover – Expo-Park</t>
  </si>
  <si>
    <t>Die Expo 2000 war die erste Weltausstellung in Deutschland. Pavillons und Neubauten im Expo-Park erinnern an innovative Konzepte zu Mensch, Natur und Technik.</t>
  </si>
  <si>
    <t>Schloss Herrenhausen</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</si>
  <si>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</si>
  <si>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</si>
  <si>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</si>
  <si>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</si>
  <si>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Planetarium</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</si>
  <si>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</si>
  <si>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</si>
  <si>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</si>
  <si>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</si>
  <si>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</si>
  <si>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Harz &amp; Bergbau</t>
  </si>
  <si>
    <t>Goslar – Altstadt</t>
  </si>
  <si>
    <t>Die Fachwerk-Altstadt Goslars und das Erzbergwerk Rammelsberg bilden ein gemeinsames UNESCO-Welterbe: ein Jahrtausend Harzer Erzbergbau trifft mittelalterliche Kaiserstadt.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</si>
  <si>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</si>
  <si>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</si>
  <si>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</si>
  <si>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</si>
  <si>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</si>
  <si>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</si>
  <si>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Documenta</t>
  </si>
  <si>
    <t>Kassel – Friedrichsplatz</t>
  </si>
  <si>
    <t>Die alle fünf Jahre stattfindende documenta macht Kassel zur Welthauptstadt zeitgenössischer Kunst und verwandelt die Stadt in ein riesiges Open-Air-Museum.</t>
  </si>
  <si>
    <t>Landgrafenkunst</t>
  </si>
  <si>
    <t>Kassel – Bergpark Wilhelmshöhe</t>
  </si>
  <si>
    <t>Europas größter Hangpark mit Herkules-Statue und barocken Wasserspielen ist UNESCO-Welterbe und Zeugnis landgräflicher Gartenkunst.</t>
  </si>
  <si>
    <t>Wartburgfest</t>
  </si>
  <si>
    <t>Eisenach – Wartburg</t>
  </si>
  <si>
    <t>1817 forderten Studenten auf der Wartburg nationale Einheit und Freiheitsrechte. Die Burg ist auch durch Luthers Bibelübersetzung berühmt.</t>
  </si>
  <si>
    <t>Lutherische Kirchenkunst</t>
  </si>
  <si>
    <t>Erfurt – Dom</t>
  </si>
  <si>
    <t>Der gotische Erfurter Dom beherbergt die Gloriosa, größte freischwingende mittelalterliche Glocke. Hier wurde Martin Luther 1507 zum Priester geweiht.</t>
  </si>
  <si>
    <t>Goethe</t>
  </si>
  <si>
    <t>Weimar – Goethe-Haus</t>
  </si>
  <si>
    <t>Goethes Wohnhaus zeigt originale Räume und Sammlungen des Dichters, der mit Schiller die Weimarer Klassik prägte.</t>
  </si>
  <si>
    <t>Hyperinflation 1923</t>
  </si>
  <si>
    <t>Weimar – DNT</t>
  </si>
  <si>
    <t>Die Geldentwertung der Weimarer Republik erreichte 1923 ihren Höhepunkt: Preise explodierten, Ersparnisse verfielen – ein Trauma deutscher Wirtschaftsgeschichte.</t>
  </si>
  <si>
    <t>Rennsteig</t>
  </si>
  <si>
    <t>Thüringer Wald – Rennsteig</t>
  </si>
  <si>
    <t>Der 170 km lange Rennsteig-Kammweg ist ältester Fernwanderweg Deutschlands und verbindet Kultur- und Naturlandschaften des Thüringer Waldes.</t>
  </si>
  <si>
    <t>Glasmacherkunst</t>
  </si>
  <si>
    <t>Lauscha – Glasbläserwerkstatt</t>
  </si>
  <si>
    <t>Lauscha gilt als Geburtsort der gläsernen Christbaumkugel. Seit 1597 pflegen Familienbetriebe hier die Kunst des Glasblasens.</t>
  </si>
  <si>
    <t>Barockschloss</t>
  </si>
  <si>
    <t>Coburg – Veste Coburg</t>
  </si>
  <si>
    <t>Die Veste Coburg, eine der größten Burgen Deutschlands, beherbergt Kunstsammlungen und war 1530 Luther-Fluchtort.</t>
  </si>
  <si>
    <t>Biertradition</t>
  </si>
  <si>
    <t>Kulmbach – Mönchshof</t>
  </si>
  <si>
    <t>Kulmbach präsentiert im Bayerischen Brauereimuseum Starkbier- und Eisbock-Tradition und feiert jährlich die Bierwoche.</t>
  </si>
  <si>
    <t>Biertradition2</t>
  </si>
  <si>
    <t>Kulmbach – Brauerei</t>
  </si>
  <si>
    <t>Fränkische Braukunst mit Reinheitsgebot: Kulmbacher Starkbiere genießen internationalen Ruf und prägen lokale Identität.</t>
  </si>
  <si>
    <t>Markgrafenkunst</t>
  </si>
  <si>
    <t>Bayreuth – Opernhaus</t>
  </si>
  <si>
    <t>Das Markgräfliche Opernhaus (1748) ist ein vollständig erhaltenes Barocktheater und UNESCO-Welterbe – ein Juwel höfischer Festkultur.</t>
  </si>
  <si>
    <t>Richard Wagner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</si>
  <si>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</si>
  <si>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</si>
  <si>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</si>
  <si>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</si>
  <si>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</si>
  <si>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UNESCO-Altstadt</t>
  </si>
  <si>
    <t>Bamberg – Altstadt</t>
  </si>
  <si>
    <t>Bambergs sieben-hügelige Altstadt mit romanischem Dom und Rathaus in der Regnitz gilt als größtes unzerstörtes historisches Stadtbild Deutschlands.</t>
  </si>
  <si>
    <t>Weihnachtsmarkt</t>
  </si>
  <si>
    <t>Nürnberg – Hauptmarkt</t>
  </si>
  <si>
    <t>Der Nürnberger Christkindlesmarkt, seit dem 16. Jh. belegt, lockt mit Lebkuchen und Holzspielzeug jährlich zwei Millionen Besucher.</t>
  </si>
  <si>
    <t>Holocaust-Dokumentation</t>
  </si>
  <si>
    <t>Nürnberg – Memorium</t>
  </si>
  <si>
    <t>Das Memorium Nürnberger Prozesse erinnert in Saal 600 an die juristische Aufarbeitung der NS-Verbrechen und die Geburtsstunde des Völkerstrafrechts.</t>
  </si>
  <si>
    <t>Bier Reinheitsgebot</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</si>
  <si>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</si>
  <si>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</si>
  <si>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</si>
  <si>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</si>
  <si>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</si>
  <si>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Olympia 1972</t>
  </si>
  <si>
    <t>München – Olympiapark</t>
  </si>
  <si>
    <t>Die Spiele von 1972 setzten mit ihrer Zeltdach-Architektur neue Maßstäbe; das Attentat auf die israelische Mannschaft prägte die Erinnerung an das moderne Areal.</t>
  </si>
  <si>
    <t>Sophie Scholl</t>
  </si>
  <si>
    <t>München – LMU</t>
  </si>
  <si>
    <t>Sophie Scholl verteilte 1943 Flugblätter der „Weißen Rose“ an der LMU. Heute mahnen Gedenktafeln an ihren mutigen Widerstand gegen das NS-Regime.</t>
  </si>
  <si>
    <t>Oktoberfest</t>
  </si>
  <si>
    <t>München – Theresienwiese</t>
  </si>
  <si>
    <t>Seit 1810 feiert München das Oktoberfest. Riesige Bierzelte, Fahrgeschäfte und Trachten ziehen jährlich Millionen Besucher an.</t>
  </si>
  <si>
    <t>Schloss Neuschwanstein</t>
  </si>
  <si>
    <t>Schwangau – Neuschwanstein</t>
  </si>
  <si>
    <t>König Ludwigs Märchenschloss (ab 1869) verkörpert romantischen Historismus in alpiner Kulisse und diente als Vorbild für das Disney-Schloss.</t>
  </si>
  <si>
    <t>Zeppelinflug 1900</t>
  </si>
  <si>
    <t>Friedrichshafen – Zeppelin Museum</t>
  </si>
  <si>
    <t>Hier startete 1900 der erste Zeppelin der Welt. Das Museum zeigt Exponate zur Luftschiffära, darunter ein Teilstück der „Hindenburg“.</t>
  </si>
  <si>
    <t>Albert Einstein</t>
  </si>
  <si>
    <t>Ulm – Einstein-Brunnen</t>
  </si>
  <si>
    <t>Albert Einstein, 1879 in Ulm geboren, revolutionierte mit Relativitäts- und Quantentheorie die Physik. Der Brunnen erinnert an das Genie.</t>
  </si>
  <si>
    <t>Cannstatter Wasen</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</si>
  <si>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</si>
  <si>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</si>
  <si>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</si>
  <si>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</si>
  <si>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Carl Benz</t>
  </si>
  <si>
    <t>Mannheim – Carl-Benz-Haus</t>
  </si>
  <si>
    <t>Carl Benz baute 1885/86 in Mannheim den ersten praxistauglichen Motorwagen. Bertha Benz’ erste Fernfahrt bewies seine Alltagstauglichkeit.</t>
  </si>
  <si>
    <t>Barocke Stadt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</si>
  <si>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</si>
  <si>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</si>
  <si>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</si>
  <si>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</si>
  <si>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</si>
  <si>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Aachener Dom</t>
  </si>
  <si>
    <t>Aachen – Dom</t>
  </si>
  <si>
    <t>Karls Pfalzkapelle (8./9. Jh.) und gotischer Chor sind erstes deutsches UNESCO-Welterbe. Über 30 deutsche Könige wurden hier gekrönt.</t>
  </si>
  <si>
    <t>UNESCO Dombezirk</t>
  </si>
  <si>
    <t>Aachen – Dombezirk</t>
  </si>
  <si>
    <t>Der Aachener Domschatz mit Karlsschrein und Marienschrein zählt zu den bedeutendsten Kirchenschätzen Europas und ergänzt den Weltkulturerbe-Dom.</t>
  </si>
  <si>
    <t>Lutherstadt</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</si>
  <si>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</si>
  <si>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</si>
  <si>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</si>
  <si>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</si>
  <si>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</si>
  <si>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</si>
  <si>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</si>
  <si>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</si>
  <si>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Reformation</t>
  </si>
  <si>
    <t>Lutherstadt Wittenberg – Schlosskirche</t>
  </si>
  <si>
    <t>Luthers 95 Thesen von 1517 an der Schlosskirche lösten die Reformation aus und veränderten Kirche und Gesellschaft nachhaltig.</t>
  </si>
  <si>
    <t>Jazzfest</t>
  </si>
  <si>
    <t>Leipzig – Moritzbastei</t>
  </si>
  <si>
    <t>Die Leipziger Jazztage (seit 1976) holen internationale Jazzgrößen in historische Spielstätten wie die unterirdische Moritzbastei.</t>
  </si>
  <si>
    <t>Johann Sebastian Bach</t>
  </si>
  <si>
    <t>Leipzig – Bach-Museum</t>
  </si>
  <si>
    <t>Bach wirkte ab 1723 als Thomaskantor in Leipzig. Das Museum zeigt Handschriften und Instrumente des Barockkomponisten.</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</si>
  <si>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</si>
  <si>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</si>
  <si>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</si>
  <si>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</si>
  <si>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</si>
  <si>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</si>
  <si>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Forschung &amp; Flug</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</si>
  <si>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</si>
  <si>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</si>
  <si>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</si>
  <si>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</si>
  <si>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</si>
  <si>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Filmgeschichte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</si>
  <si>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</si>
  <si>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</si>
  <si>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</si>
  <si>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</si>
  <si>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</si>
  <si>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Kalter Krieg</t>
  </si>
  <si>
    <t>Berlin – Checkpoint Charlie</t>
  </si>
  <si>
    <t>Der bekannteste Berliner Grenzübergang war Schauplatz brisanter Panzerkonfrontationen zwischen USA und UdSSR im Oktober 1961.</t>
  </si>
  <si>
    <t>Hauptstadtgeschichte</t>
  </si>
  <si>
    <t>Berlin – Brandenburger Tor</t>
  </si>
  <si>
    <t>Das klassizistische Tor (1791) stand bis 1989 an der Mauer und wurde nach dem Fall zum Symbol der deutschen Einheit.</t>
  </si>
  <si>
    <t>Techno-Kultur</t>
  </si>
  <si>
    <t>Berlin – Berghain</t>
  </si>
  <si>
    <t>Der Club Berghain in einem ehemaligen Kraftwerk gilt als Mekka des Techno: kompromisslose Türpolitik und erstklassiger Sound erzeugen Kultstatus.</t>
  </si>
  <si>
    <t>Mauerfall</t>
  </si>
  <si>
    <t>Berlin – East Side Gallery</t>
  </si>
  <si>
    <t>Die bemalten 1,3 km Mauerreste zeigen über 100 Murals, die Freude über die friedliche Revolution von 1989 ausdrücken.</t>
  </si>
  <si>
    <t>Parklandschaft</t>
  </si>
  <si>
    <t>Fürstenberg/Havel – Schloss</t>
  </si>
  <si>
    <t>Schloss Fürstenberg liegt in einer seen- und waldreichen Parklandschaft Nordbrandenburgs und spiegelt adlige Kultur in naturnaher Umgebung.</t>
  </si>
  <si>
    <t>Brandenburgische Seen</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</si>
  <si>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</si>
  <si>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</si>
  <si>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</si>
  <si>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</si>
  <si>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</si>
  <si>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Hafengeschichte</t>
  </si>
  <si>
    <t>Rostock – Alter Strom</t>
  </si>
  <si>
    <t>Warnemündes Alter Strom zeigt mit Fischerbooten und Kapitänshäusern die maritime Tradition der Hansestadt Rostock.</t>
  </si>
  <si>
    <t>Fischerdorf</t>
  </si>
  <si>
    <t>Ahrenshoop – Künstlerkolonie</t>
  </si>
  <si>
    <t>Das ehemalige Fischerdorf Ahrenshoop wurde ab 1890 zur Künstlerkolonie; Reetdächer und Ostseelicht inspirieren Maler bis heute.</t>
  </si>
  <si>
    <t>Stadterhebung</t>
  </si>
  <si>
    <t>Stralsund – Altstadt</t>
  </si>
  <si>
    <t>Stralsunds Backsteingotik-Altstadt erhielt 1234 Stadtrecht; als Hanse-Hafen ist sie zusammen mit Wismar UNESCO-Welterbe.</t>
  </si>
  <si>
    <t>Backsteingotik</t>
  </si>
  <si>
    <t>Greifswald – Dom</t>
  </si>
  <si>
    <t>Der Dom St. Nikolai (13. Jh.) dominiert Greifswalds Silhouette und verkörpert norddeutsche Backsteingotik und Hanse-Reichtum.</t>
  </si>
  <si>
    <t>Nationalpark Jasmund</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</si>
  <si>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</si>
  <si>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</si>
  <si>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</si>
  <si>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</si>
  <si>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</si>
  <si>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UNESCO-Altstadt Wismar</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</si>
  <si>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</si>
  <si>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</si>
  <si>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</si>
  <si>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</si>
  <si>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Backsteingotik Ost</t>
  </si>
  <si>
    <t>Lübeck – Holstentor</t>
  </si>
  <si>
    <t>Das spätgotische Holstentor (1464–1478) mit Zwillings­türmen ist Lübecks Wahrzeichen und erinnert an die Blüte der Hanse.</t>
  </si>
  <si>
    <t>St. Michaelis</t>
  </si>
  <si>
    <t>Hamburg – Michel</t>
  </si>
  <si>
    <t>Der barocke Michel mit 132 m Turm bietet Seefahrern Orientierung und Hamburgern ein identitätsstiftendes Wahrzeichen.</t>
  </si>
  <si>
    <t>Elbphilharmonie</t>
  </si>
  <si>
    <t>Hamburg – Elbphilharmonie</t>
  </si>
  <si>
    <t>Das 2017 eröffnete Konzerthaus kombiniert modernen Glaswellenbau auf historischem Kaispeicher und setzt akustische Maßstäbe.</t>
  </si>
  <si>
    <t>Hafengeburtstag</t>
  </si>
  <si>
    <t>Hamburg – Landungsbrücken</t>
  </si>
  <si>
    <t>Europas größtes Hafenfest feiert seit 1189 die Hamburger Schifffahrt mit Ein- und Auslaufparaden von Segel- bis Kreuzfahrtschiffen.</t>
  </si>
  <si>
    <t>Reeperbahn</t>
  </si>
  <si>
    <t>Hamburg – St. Pauli</t>
  </si>
  <si>
    <t>St. Paulis Reeperbahn ist weltberühmtes Vergnügungs- und Rotlichtviertel, wo in den 1960ern die Beatles ihren Durchbruch hatten.</t>
  </si>
  <si>
    <t>Handball THW Kiel</t>
  </si>
  <si>
    <t>Kiel – Wunderino Arena</t>
  </si>
  <si>
    <t>THW Kiel, vielfacher deutscher und Champions-League-Sieger, sorgt in der Wunderino Arena für Handball-Atmosphäre auf Weltklasseniveau.</t>
  </si>
  <si>
    <t>Kieler Woche</t>
  </si>
  <si>
    <t>Kiel – Hörn</t>
  </si>
  <si>
    <t>Seit 1882 ist die Kieler Woche das größte Segelereignis der Welt; Regatten und maritimes Volksfest beleben eine Woche lang die Förde.</t>
  </si>
  <si>
    <t>Max Planck</t>
  </si>
  <si>
    <t>Kiel – Max-Planck-Schule</t>
  </si>
  <si>
    <t>Der in Kiel geborene Physiker Max Planck (1858–1947) begründete mit seiner Quantentheorie die moderne Physik.</t>
  </si>
  <si>
    <t>Sylt Strandkultur</t>
  </si>
  <si>
    <t>Westerland – Strandpromenade</t>
  </si>
  <si>
    <t>Sylt vereint Kurtradition, endlose Sandstrände und Prominentenflair; Strandkörbe und Reetdörfer prägen Deutschlands bekannteste Nordseeinsel.</t>
  </si>
  <si>
    <t>Moderne Kunst</t>
  </si>
  <si>
    <t>Magdeburg – Kunstmuseum</t>
  </si>
  <si>
    <t>Das Kunstmuseum im Kloster Unser Lieben Frauen verbindet romanische Architektur mit internationaler Gegenwartskunst – Symbol des modernen Magdeburg.</t>
  </si>
  <si>
    <t>ErklÃ¤rung</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</si>
  <si>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</si>
  <si>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</si>
  <si>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</si>
  <si>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</si>
  <si>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Wiesbaden â€“ Kurhaus</t>
  </si>
  <si>
    <t>Wiesbaden gilt seit dem 19. Jahrhundert als mondÃ¤ne Kurstadt. Das neoklassizistische Kurhaus von 1907, Thermalquellen und weitlÃ¤ufige Kurparks spiegeln bis heute die historische Wellness-Kultur wider.</t>
  </si>
  <si>
    <t>Mainz â€“ Gutenberg-Museum</t>
  </si>
  <si>
    <t>Johannes Gutenberg revolutionierte um 1450 in Mainz den Buchdruck mit beweglichen Lettern. Das Gutenberg-Museum zeigt u. a. zwei Gutenberg-Bibeln und demonstriert an historischen Pressen die Technik, die das Lesen weltweit verÃ¤nderte.</t>
  </si>
  <si>
    <t>RÃ¼desheim â€“ Drosselgasse</t>
  </si>
  <si>
    <t>Die Drosselgasse in RÃ¼desheim ist eine 144 Meter lange Fachwerkgasse voller Weinstuben. Ihre Weinfeste mit Live-Musik reprÃ¤sentieren die gesellige Rheingauer Weinkultur.</t>
  </si>
  <si>
    <t>WÃ¶llstein â€“ Geburtsort</t>
  </si>
  <si>
    <t>Helene Fischer (*1984) wuchs in WÃ¶llstein auf und wurde zur erfolgreichsten deutschen SchlagersÃ¤ngerin. Hits wie â€žAtemlos durch die Nachtâ€œ und zahlreiche Auszeichnungen prÃ¤gen ihre Karriere.</t>
  </si>
  <si>
    <t>St. Goar â€“ Loreleyfelsen</t>
  </si>
  <si>
    <t>Boppard â€“ Rheinschleife</t>
  </si>
  <si>
    <t>An der Rheinschleife bei Boppard wachsen auf steilen SchieferhÃ¤ngen Riesling-Reben. Der Bopparder Hamm dokumentiert seit Jahrhunderten die Weinbautradition des Mittelrheins.</t>
  </si>
  <si>
    <t>Koblenz â€“ Deutsches Eck</t>
  </si>
  <si>
    <t>Am Deutschen Eck flieÃŸen Mosel und Rhein zusammen. Das Reiterstandbild Kaiser Wilhelms I. (1897) erinnert an die ReichsgrÃ¼ndung und wurde nach 1945 zum Symbol der deutschen Einheit.</t>
  </si>
  <si>
    <t>NÃ¼rburgring â€“ GP-Strecke</t>
  </si>
  <si>
    <t>Deutschlands Autobahnen sind fÃ¼r fehlende Tempolimits bekannt. Auf der Nordschleife des NÃ¼rburgrings kÃ¶nnen Fahrer Hochgeschwindigkeit legal erleben â€“ ein kontrolliertes Pendant zum Autobahnrausch.</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</si>
  <si>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</si>
  <si>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</si>
  <si>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</si>
  <si>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</si>
  <si>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</si>
  <si>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KÃ¶ln â€“ Adenauer-Haus</t>
  </si>
  <si>
    <t>Konrad Adenauer (1876â€“1967) war KÃ¶lner OberbÃ¼rgermeister und erster Bundeskanzler der Bundesrepublik. Sein Wohnhaus in RhÃ¶ndorf erzÃ¤hlt von seinem Einsatz fÃ¼r Wiederaufbau und Westbindung.</t>
  </si>
  <si>
    <t>Mettmann â€“ Neanderthal Museum</t>
  </si>
  <si>
    <t>Der 1856 gefundene Neandertaler-SchÃ¤del revolutionierte das VerstÃ¤ndnis menschlicher Evolution. Das Neanderthal Museum veranschaulicht die Geschichte unserer fossilen Verwandten.</t>
  </si>
  <si>
    <t>DÃ¼sseldorf â€“ Rheinturm</t>
  </si>
  <si>
    <t>DÃ¼sseldorf verbindet Altstadt, Mode- und Messekultur mit moderner Architektur im Medienhafen. Der Rheinturm bietet einen Panoramablick auf die Rheinmetropole und ihre Kunst- und Shopping-Szene.</t>
  </si>
  <si>
    <t>Duisburg â€“ Innenhafen</t>
  </si>
  <si>
    <t>Der Duisburger Innenhafen, einst Speicher- und Handelshafen, wurde zum Kultur- und BÃ¼roquartier umgestaltet. Restaurierte Speicher und Museen zeigen den erfolgreichen Strukturwandel von Stahl zu Kultur.</t>
  </si>
  <si>
    <t>Essen â€“ Zeche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</si>
  <si>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</si>
  <si>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</si>
  <si>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</si>
  <si>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</si>
  <si>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</si>
  <si>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</si>
  <si>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</si>
  <si>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</si>
  <si>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Bielefeld â€“ Sparrenburg</t>
  </si>
  <si>
    <t>Die mittelalterliche Sparrenburg Ã¼berragt Bielefeld am Rand des Teutoburger Waldes, der durch die Varusschlacht (9 n. Chr.) historisch bekannt ist.</t>
  </si>
  <si>
    <t>Hannover â€“ Neues Rathaus</t>
  </si>
  <si>
    <t>Hannovers wilhelminisches Neues Rathaus (1913) symbolisiert den Wiederaufbau der Stadt, die heute Messestandort und grÃ¼ne GroÃŸstadt mit den HerrenhÃ¤user GÃ¤rten ist.</t>
  </si>
  <si>
    <t>Hannover â€“ H.-Arendt-Platz</t>
  </si>
  <si>
    <t>Die politische Theoretikerin Hannah Arendt (1906â€“1975) wurde in Hannover geboren. Der Hannah-Arendt-Platz mahnt an Demokratie, Freiheit und Verantwortung.</t>
  </si>
  <si>
    <t>Hannover â€“ Expo-Park</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</si>
  <si>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</si>
  <si>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</si>
  <si>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</si>
  <si>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</si>
  <si>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</si>
  <si>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</si>
  <si>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</si>
  <si>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</si>
  <si>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</si>
  <si>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Goslar â€“ Altstadt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</si>
  <si>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</si>
  <si>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</si>
  <si>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</si>
  <si>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</si>
  <si>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</si>
  <si>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</si>
  <si>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Kassel â€“ Friedrichsplatz</t>
  </si>
  <si>
    <t>Die alle fÃ¼nf Jahre stattfindende documenta macht Kassel zur Welthauptstadt zeitgenÃ¶ssischer Kunst und verwandelt die Stadt in ein riesiges Open-Air-Museum.</t>
  </si>
  <si>
    <t>Kassel â€“ Bergpark WilhelmshÃ¶he</t>
  </si>
  <si>
    <t>Europas grÃ¶ÃŸter Hangpark mit Herkules-Statue und barocken Wasserspielen ist UNESCO-Welterbe und Zeugnis landgrÃ¤flicher Gartenkunst.</t>
  </si>
  <si>
    <t>Eisenach â€“ Wartburg</t>
  </si>
  <si>
    <t>1817 forderten Studenten auf der Wartburg nationale Einheit und Freiheitsrechte. Die Burg ist auch durch Luthers BibelÃ¼bersetzung berÃ¼hmt.</t>
  </si>
  <si>
    <t>Erfurt â€“ Dom</t>
  </si>
  <si>
    <t>Der gotische Erfurter Dom beherbergt die Gloriosa, grÃ¶ÃŸte freischwingende mittelalterliche Glocke. Hier wurde Martin Luther 1507 zum Priester geweiht.</t>
  </si>
  <si>
    <t>Weimar â€“ Goethe-Haus</t>
  </si>
  <si>
    <t>Goethes Wohnhaus zeigt originale RÃ¤ume und Sammlungen des Dichters, der mit Schiller die Weimarer Klassik prÃ¤gte.</t>
  </si>
  <si>
    <t>Weimar â€“ DNT</t>
  </si>
  <si>
    <t>Die Geldentwertung der Weimarer Republik erreichte 1923 ihren HÃ¶hepunkt: Preise explodierten, Ersparnisse verfielen â€“ ein Trauma deutscher Wirtschaftsgeschichte.</t>
  </si>
  <si>
    <t>ThÃ¼ringer Wald â€“ Rennsteig</t>
  </si>
  <si>
    <t>Der 170 km lange Rennsteig-Kammweg ist Ã¤ltester Fernwanderweg Deutschlands und verbindet Kultur- und Naturlandschaften des ThÃ¼ringer Waldes.</t>
  </si>
  <si>
    <t>Lauscha â€“ GlasblÃ¤serwerkstatt</t>
  </si>
  <si>
    <t>Lauscha gilt als Geburtsort der glÃ¤sernen Christbaumkugel. Seit 1597 pflegen Familienbetriebe hier die Kunst des Glasblasens.</t>
  </si>
  <si>
    <t>Coburg â€“ Veste Coburg</t>
  </si>
  <si>
    <t>Die Veste Coburg, eine der grÃ¶ÃŸten Burgen Deutschlands, beherbergt Kunstsammlungen und war 1530 Luther-Fluchtort.</t>
  </si>
  <si>
    <t>Kulmbach â€“ MÃ¶nchshof</t>
  </si>
  <si>
    <t>Kulmbach prÃ¤sentiert im Bayerischen Brauereimuseum Starkbier- und Eisbock-Tradition und feiert jÃ¤hrlich die Bierwoche.</t>
  </si>
  <si>
    <t>Kulmbach â€“ Brauerei</t>
  </si>
  <si>
    <t>FrÃ¤nkische Braukunst mit Reinheitsgebot: Kulmbacher Starkbiere genieÃŸen internationalen Ruf und prÃ¤gen lokale IdentitÃ¤t.</t>
  </si>
  <si>
    <t>Bayreuth â€“ Opernhaus</t>
  </si>
  <si>
    <t>Das MarkgrÃ¤fliche Opernhaus (1748) ist ein vollstÃ¤ndig erhaltenes Barocktheater und UNESCO-Welterbe â€“ ein Juwel hÃ¶fischer Festkultur.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</si>
  <si>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</si>
  <si>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</si>
  <si>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</si>
  <si>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</si>
  <si>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</si>
  <si>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Bamberg â€“ Altstadt</t>
  </si>
  <si>
    <t>Bambergs sieben-hÃ¼gelige Altstadt mit romanischem Dom und Rathaus in der Regnitz gilt als grÃ¶ÃŸtes unzerstÃ¶rtes historisches Stadtbild Deutschlands.</t>
  </si>
  <si>
    <t>NÃ¼rnberg â€“ Hauptmarkt</t>
  </si>
  <si>
    <t>Der NÃ¼rnberger Christkindlesmarkt, seit dem 16. Jh. belegt, lockt mit Lebkuchen und Holzspielzeug jÃ¤hrlich zwei Millionen Besucher.</t>
  </si>
  <si>
    <t>NÃ¼rnberg â€“ Memorium</t>
  </si>
  <si>
    <t>Das Memorium NÃ¼rnberger Prozesse erinnert in Saal 600 an die juristische Aufarbeitung der NS-Verbrechen und die Geburtsstunde des VÃ¶lkerstrafrechts.</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</si>
  <si>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</si>
  <si>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</si>
  <si>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</si>
  <si>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</si>
  <si>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</si>
  <si>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MÃ¼nchen â€“ Olympiapark</t>
  </si>
  <si>
    <t>Die Spiele von 1972 setzten mit ihrer Zeltdach-Architektur neue MaÃŸstÃ¤be; das Attentat auf die israelische Mannschaft prÃ¤gte die Erinnerung an das moderne Areal.</t>
  </si>
  <si>
    <t>MÃ¼nchen â€“ LMU</t>
  </si>
  <si>
    <t>Sophie Scholl verteilte 1943 FlugblÃ¤tter der â€žWeiÃŸen Roseâ€œ an der LMU. Heute mahnen Gedenktafeln an ihren mutigen Widerstand gegen das NS-Regime.</t>
  </si>
  <si>
    <t>MÃ¼nchen â€“ Theresienwiese</t>
  </si>
  <si>
    <t>Seit 1810 feiert MÃ¼nchen das Oktoberfest. Riesige Bierzelte, FahrgeschÃ¤fte und Trachten ziehen jÃ¤hrlich Millionen Besucher an.</t>
  </si>
  <si>
    <t>Schwangau â€“ Neuschwanstein</t>
  </si>
  <si>
    <t>KÃ¶nig Ludwigs MÃ¤rchenschloss (ab 1869) verkÃ¶rpert romantischen Historismus in alpiner Kulisse und diente als Vorbild fÃ¼r das Disney-Schloss.</t>
  </si>
  <si>
    <t>Friedrichshafen â€“ Zeppelin Museum</t>
  </si>
  <si>
    <t>Hier startete 1900 der erste Zeppelin der Welt. Das Museum zeigt Exponate zur LuftschiffÃ¤ra, darunter ein TeilstÃ¼ck der â€žHindenburgâ€œ.</t>
  </si>
  <si>
    <t>Ulm â€“ Einstein-Brunnen</t>
  </si>
  <si>
    <t>Albert Einstein, 1879 in Ulm geboren, revolutionierte mit RelativitÃ¤ts- und Quantentheorie die Physik. Der Brunnen erinnert an das Genie.</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</si>
  <si>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</si>
  <si>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</si>
  <si>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</si>
  <si>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</si>
  <si>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Mannheim â€“ Carl-Benz-Haus</t>
  </si>
  <si>
    <t>Carl Benz baute 1885/86 in Mannheim den ersten praxistauglichen Motorwagen. Bertha Benzâ€™ erste Fernfahrt bewies seine Alltagstauglichkeit.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</si>
  <si>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</si>
  <si>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</si>
  <si>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</si>
  <si>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</si>
  <si>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</si>
  <si>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 â€“ Dom</t>
  </si>
  <si>
    <t>Karls Pfalzkapelle (8./9. Jh.) und gotischer Chor sind erstes deutsches UNESCO-Welterbe. Ãœber 30 deutsche KÃ¶nige wurden hier gekrÃ¶nt.</t>
  </si>
  <si>
    <t>Aachen â€“ Dombezirk</t>
  </si>
  <si>
    <t>Der Aachener Domschatz mit Karlsschrein und Marienschrein zÃ¤hlt zu den bedeutendsten KirchenschÃ¤tzen Europas und ergÃ¤nzt den Weltkulturerbe-Dom.</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</si>
  <si>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</si>
  <si>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</si>
  <si>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</si>
  <si>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</si>
  <si>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</si>
  <si>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</si>
  <si>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</si>
  <si>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</si>
  <si>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Lutherstadt Wittenberg â€“ Schlosskirche</t>
  </si>
  <si>
    <t>Luthers 95 Thesen von 1517 an der Schlosskirche lÃ¶sten die Reformation aus und verÃ¤nderten Kirche und Gesellschaft nachhaltig.</t>
  </si>
  <si>
    <t>Leipzig â€“ Moritzbastei</t>
  </si>
  <si>
    <t>Die Leipziger Jazztage (seit 1976) holen internationale JazzgrÃ¶ÃŸen in historische SpielstÃ¤tten wie die unterirdische Moritzbastei.</t>
  </si>
  <si>
    <t>Leipzig â€“ Bach-Museum</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</si>
  <si>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</si>
  <si>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</si>
  <si>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</si>
  <si>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</si>
  <si>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</si>
  <si>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</si>
  <si>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</si>
  <si>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</si>
  <si>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</si>
  <si>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</si>
  <si>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</si>
  <si>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</si>
  <si>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</si>
  <si>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</si>
  <si>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</si>
  <si>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</si>
  <si>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Berlin â€“ Checkpoint Charlie</t>
  </si>
  <si>
    <t>Der bekannteste Berliner GrenzÃ¼bergang war Schauplatz brisanter Panzerkonfrontationen zwischen USA und UdSSR im Oktober 1961.</t>
  </si>
  <si>
    <t>Berlin â€“ Brandenburger Tor</t>
  </si>
  <si>
    <t>Berlin â€“ Berghain</t>
  </si>
  <si>
    <t>Der Club Berghain in einem ehemaligen Kraftwerk gilt als Mekka des Techno: kompromisslose TÃ¼rpolitik und erstklassiger Sound erzeugen Kultstatus.</t>
  </si>
  <si>
    <t>Berlin â€“ East Side Gallery</t>
  </si>
  <si>
    <t>Die bemalten 1,3 km Mauerreste zeigen Ã¼ber 100 Murals, die Freude Ã¼ber die friedliche Revolution von 1989 ausdrÃ¼cken.</t>
  </si>
  <si>
    <t>FÃ¼rstenberg/Havel â€“ Schloss</t>
  </si>
  <si>
    <t>Schloss FÃ¼rstenberg liegt in einer seen- und waldreichen Parklandschaft Nordbrandenburgs und spiegelt adlige Kultur in naturnaher Umgebung.</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</si>
  <si>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</si>
  <si>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</si>
  <si>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</si>
  <si>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</si>
  <si>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</si>
  <si>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Rostock â€“ Alter Strom</t>
  </si>
  <si>
    <t>WarnemÃ¼ndes Alter Strom zeigt mit Fischerbooten und KapitÃ¤nshÃ¤usern die maritime Tradition der Hansestadt Rostock.</t>
  </si>
  <si>
    <t>Ahrenshoop â€“ KÃ¼nstlerkolonie</t>
  </si>
  <si>
    <t>Das ehemalige Fischerdorf Ahrenshoop wurde ab 1890 zur KÃ¼nstlerkolonie; ReetdÃ¤cher und Ostseelicht inspirieren Maler bis heute.</t>
  </si>
  <si>
    <t>Stralsund â€“ Altstadt</t>
  </si>
  <si>
    <t>Greifswald â€“ Dom</t>
  </si>
  <si>
    <t>Der Dom St. Nikolai (13. Jh.) dominiert Greifswalds Silhouette und verkÃ¶rpert norddeutsche Backsteingotik und Hanse-Reichtum.</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</si>
  <si>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</si>
  <si>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</si>
  <si>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</si>
  <si>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</si>
  <si>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</si>
  <si>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</si>
  <si>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</si>
  <si>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</si>
  <si>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</si>
  <si>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LÃ¼beck â€“ Holstentor</t>
  </si>
  <si>
    <t>Das spÃ¤tgotische Holstentor (1464â€“1478) mit ZwillingsÂ­tÃ¼rmen ist LÃ¼becks Wahrzeichen und erinnert an die BlÃ¼te der Hanse.</t>
  </si>
  <si>
    <t>Hamburg â€“ Michel</t>
  </si>
  <si>
    <t>Der barocke Michel mit 132 m Turm bietet Seefahrern Orientierung und Hamburgern ein identitÃ¤tsstiftendes Wahrzeichen.</t>
  </si>
  <si>
    <t>Hamburg â€“ Elbphilharmonie</t>
  </si>
  <si>
    <t>Das 2017 erÃ¶ffnete Konzerthaus kombiniert modernen Glaswellenbau auf historischem Kaispeicher und setzt akustische MaÃŸstÃ¤be.</t>
  </si>
  <si>
    <t>Hamburg â€“ LandungsbrÃ¼cken</t>
  </si>
  <si>
    <t>Europas grÃ¶ÃŸtes Hafenfest feiert seit 1189 die Hamburger Schifffahrt mit Ein- und Auslaufparaden von Segel- bis Kreuzfahrtschiffen.</t>
  </si>
  <si>
    <t>Hamburg â€“ St. Pauli</t>
  </si>
  <si>
    <t>St. Paulis Reeperbahn ist weltberÃ¼hmtes VergnÃ¼gungs- und Rotlichtviertel, wo in den 1960ern die Beatles ihren Durchbruch hatten.</t>
  </si>
  <si>
    <t>Kiel â€“ Wunderino Arena</t>
  </si>
  <si>
    <t>THW Kiel, vielfacher deutscher und Champions-League-Sieger, sorgt in der Wunderino Arena fÃ¼r Handball-AtmosphÃ¤re auf Weltklasseniveau.</t>
  </si>
  <si>
    <t>Kiel â€“ HÃ¶rn</t>
  </si>
  <si>
    <t>Seit 1882 ist die Kieler Woche das grÃ¶ÃŸte Segelereignis der Welt; Regatten und maritimes Volksfest beleben eine Woche lang die FÃ¶rde.</t>
  </si>
  <si>
    <t>Kiel â€“ Max-Planck-Schule</t>
  </si>
  <si>
    <t>Der in Kiel geborene Physiker Max Planck (1858â€“1947) begrÃ¼ndete mit seiner Quantentheorie die moderne Physik.</t>
  </si>
  <si>
    <t>Westerland â€“ Strandpromenade</t>
  </si>
  <si>
    <t>Sylt vereint Kurtradition, endlose SandstrÃ¤nde und Prominentenflair; StrandkÃ¶rbe und ReetdÃ¶rfer prÃ¤gen Deutschlands bekannteste Nordseeinsel.</t>
  </si>
  <si>
    <t>Magdeburg â€“ Kunstmuseum</t>
  </si>
  <si>
    <t>Das Kunstmuseum im Kloster Unser Lieben Frauen verbindet romanische Architektur mit internationaler Gegenwartskunst â€“ Symbol des modernen Magdeburg.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</si>
</sst>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2">
    <tableStyle count="3" pivot="0" name="Tabelle3-style">
      <tableStyleElement dxfId="1" type="headerRow"/>
      <tableStyleElement dxfId="2" type="firstRowStripe"/>
      <tableStyleElement dxfId="3" type="secondRowStripe"/>
    </tableStyle>
    <tableStyle count="3" pivot="0" name="Tabelle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10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belle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1" displayName="Table_2" name="Table_2" id="2">
  <tableColumns count="6">
    <tableColumn name="Nr" id="1"/>
    <tableColumn name="Station" id="2"/>
    <tableColumn name="Ort" id="3"/>
    <tableColumn name="Latitude" id="4"/>
    <tableColumn name="Longitude" id="5"/>
    <tableColumn name="ErklÃ¤rung" id="6"/>
  </tableColumns>
  <tableStyleInfo name="Tabell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0"/>
    <col customWidth="1" min="3" max="3" width="36.0"/>
    <col customWidth="1" min="4" max="4" width="10.57"/>
    <col customWidth="1" min="5" max="5" width="12.14"/>
    <col customWidth="1" min="6" max="6" width="81.14"/>
    <col customWidth="1" min="7" max="26" width="10.71"/>
  </cols>
  <sheetData>
    <row r="1">
      <c r="A1" s="1" t="s">
        <v>0</v>
      </c>
      <c r="B1" s="1" t="s">
        <v>1</v>
      </c>
      <c r="C1" s="1" t="s">
        <v>2</v>
      </c>
      <c r="D1" s="1" t="s">
        <v>3</v>
      </c>
      <c r="E1" s="1" t="s">
        <v>4</v>
      </c>
      <c r="F1" s="1" t="s">
        <v>5</v>
      </c>
      <c r="G1" s="1"/>
    </row>
    <row r="2">
      <c r="A2" s="1">
        <v>1.0</v>
      </c>
      <c r="B2" s="1" t="s">
        <v>6</v>
      </c>
      <c r="C2" s="1" t="s">
        <v>7</v>
      </c>
      <c r="D2" s="1">
        <v>501096.0</v>
      </c>
      <c r="E2" s="1">
        <v>86724.0</v>
      </c>
      <c r="F2" s="1" t="s">
        <v>8</v>
      </c>
      <c r="G2" s="1" t="str">
        <f>IFERROR(__xludf.DUMMYFUNCTION("GOOGLETRANSLATE(F2, ""de"", ""ur"")"),"فرینکفرٹ ایم مین میں مین ٹاور ایک 200 میٹر اونچی فلک بوس عمارت ہے جس میں عوامی طور پر قابل رسائی دیکھنے کا پلیٹ فارم ہے۔ اونچی عمارت، جو 2000 میں کھولی گئی، فرینکفرٹ کی اسکائی لائن کو اپنے شیشے کے اگلے حصے سے شکل دیتی ہے اور یہ جرمنی کی بلند ترین عمارتوں "&amp;"میں سے ایک ہے۔ 198 میٹر کی بلندی سے آپ شہر کے خوبصورت نظارے سے لطف اندوز ہو سکتے ہیں۔")</f>
        <v>فرینکفرٹ ایم مین میں مین ٹاور ایک 200 میٹر اونچی فلک بوس عمارت ہے جس میں عوامی طور پر قابل رسائی دیکھنے کا پلیٹ فارم ہے۔ اونچی عمارت، جو 2000 میں کھولی گئی، فرینکفرٹ کی اسکائی لائن کو اپنے شیشے کے اگلے حصے سے شکل دیتی ہے اور یہ جرمنی کی بلند ترین عمارتوں میں سے ایک ہے۔ 198 میٹر کی بلندی سے آپ شہر کے خوبصورت نظارے سے لطف اندوز ہو سکتے ہیں۔</v>
      </c>
    </row>
    <row r="3">
      <c r="A3" s="1">
        <v>2.0</v>
      </c>
      <c r="B3" s="1" t="s">
        <v>9</v>
      </c>
      <c r="C3" s="1" t="s">
        <v>10</v>
      </c>
      <c r="D3" s="1">
        <v>501106.0</v>
      </c>
      <c r="E3" s="1">
        <v>86821.0</v>
      </c>
      <c r="F3" s="1" t="s">
        <v>11</v>
      </c>
      <c r="G3" s="1" t="str">
        <f>IFERROR(__xludf.DUMMYFUNCTION("GOOGLETRANSLATE(F3, ""de"", ""ur"")"),"مالیاتی شہر کے طور پر، فرینکفرٹ ایم مین یورپ کے اہم ترین بینکنگ مقامات میں سے ایک ہے۔ یورپی مرکزی بینک اور متعدد بڑے بینکوں کا گھر، جرمنی میں سب سے زیادہ فلک بوس عمارتوں والی اسکائی لائن اس شہر کو اس کا عرفی نام ""مین ہٹن"" دیتی ہے۔")</f>
        <v>مالیاتی شہر کے طور پر، فرینکفرٹ ایم مین یورپ کے اہم ترین بینکنگ مقامات میں سے ایک ہے۔ یورپی مرکزی بینک اور متعدد بڑے بینکوں کا گھر، جرمنی میں سب سے زیادہ فلک بوس عمارتوں والی اسکائی لائن اس شہر کو اس کا عرفی نام "مین ہٹن" دیتی ہے۔</v>
      </c>
    </row>
    <row r="4">
      <c r="A4" s="1">
        <v>3.0</v>
      </c>
      <c r="B4" s="1" t="s">
        <v>12</v>
      </c>
      <c r="C4" s="1" t="s">
        <v>13</v>
      </c>
      <c r="D4" s="1">
        <v>500826.0</v>
      </c>
      <c r="E4" s="1">
        <v>82435.0</v>
      </c>
      <c r="F4" s="1" t="s">
        <v>14</v>
      </c>
      <c r="G4" s="1" t="str">
        <f>IFERROR(__xludf.DUMMYFUNCTION("GOOGLETRANSLATE(F4, ""de"", ""ur"")"),"Wiesbaden 19 ویں صدی سے ایک جدید ترین سپا ٹاؤن سمجھا جاتا ہے۔ 1907 کا نیو کلاسیکل سپا ہاؤس، تھرمل اسپرنگس اور وسیع اسپا پارک آج بھی تاریخی فلاح و بہبود کی ثقافت کی عکاسی کرتے ہیں۔")</f>
        <v>Wiesbaden 19 ویں صدی سے ایک جدید ترین سپا ٹاؤن سمجھا جاتا ہے۔ 1907 کا نیو کلاسیکل سپا ہاؤس، تھرمل اسپرنگس اور وسیع اسپا پارک آج بھی تاریخی فلاح و بہبود کی ثقافت کی عکاسی کرتے ہیں۔</v>
      </c>
    </row>
    <row r="5">
      <c r="A5" s="1">
        <v>4.0</v>
      </c>
      <c r="B5" s="1" t="s">
        <v>15</v>
      </c>
      <c r="C5" s="1" t="s">
        <v>16</v>
      </c>
      <c r="D5" s="1">
        <v>499983.0</v>
      </c>
      <c r="E5" s="1">
        <v>82711.0</v>
      </c>
      <c r="F5" s="1" t="s">
        <v>17</v>
      </c>
      <c r="G5" s="1" t="str">
        <f>IFERROR(__xludf.DUMMYFUNCTION("GOOGLETRANSLATE(F5, ""de"", ""ur"")"),"جوہانس گٹن برگ نے 1450 کے آس پاس مینز میں حرکت پذیر قسم کے ساتھ کتابوں کی چھپائی میں انقلاب برپا کیا۔ گوٹن برگ میوزیم میں دیگر چیزوں کے علاوہ: دو گٹن برگ بائبلز اور تاریخی پریس پر اس ٹیکنالوجی کا مظاہرہ کیا گیا جس نے دنیا بھر میں پڑھنے کو بدل دیا۔")</f>
        <v>جوہانس گٹن برگ نے 1450 کے آس پاس مینز میں حرکت پذیر قسم کے ساتھ کتابوں کی چھپائی میں انقلاب برپا کیا۔ گوٹن برگ میوزیم میں دیگر چیزوں کے علاوہ: دو گٹن برگ بائبلز اور تاریخی پریس پر اس ٹیکنالوجی کا مظاہرہ کیا گیا جس نے دنیا بھر میں پڑھنے کو بدل دیا۔</v>
      </c>
    </row>
    <row r="6">
      <c r="A6" s="1">
        <v>5.0</v>
      </c>
      <c r="B6" s="1" t="s">
        <v>18</v>
      </c>
      <c r="C6" s="1" t="s">
        <v>19</v>
      </c>
      <c r="D6" s="1">
        <v>499992.0</v>
      </c>
      <c r="E6" s="1">
        <v>79433.0</v>
      </c>
      <c r="F6" s="1" t="s">
        <v>20</v>
      </c>
      <c r="G6" s="1" t="str">
        <f>IFERROR(__xludf.DUMMYFUNCTION("GOOGLETRANSLATE(F6, ""de"", ""ur"")"),"Rüdesheim میں Drosselgasse ایک 144 میٹر لمبی آدھی لکڑی والی گلی ہے جو شراب خانوں سے بھری ہوئی ہے۔ لائیو میوزک کے ساتھ ان کے وائن فیسٹیول میں رائینگاؤ وائن کلچر کی عکاسی ہوتی ہے۔")</f>
        <v>Rüdesheim میں Drosselgasse ایک 144 میٹر لمبی آدھی لکڑی والی گلی ہے جو شراب خانوں سے بھری ہوئی ہے۔ لائیو میوزک کے ساتھ ان کے وائن فیسٹیول میں رائینگاؤ وائن کلچر کی عکاسی ہوتی ہے۔</v>
      </c>
    </row>
    <row r="7">
      <c r="A7" s="1">
        <v>6.0</v>
      </c>
      <c r="B7" s="1" t="s">
        <v>21</v>
      </c>
      <c r="C7" s="1" t="s">
        <v>22</v>
      </c>
      <c r="D7" s="1">
        <v>49804.0</v>
      </c>
      <c r="E7" s="1">
        <v>7967.0</v>
      </c>
      <c r="F7" s="1" t="s">
        <v>23</v>
      </c>
      <c r="G7" s="1" t="str">
        <f>IFERROR(__xludf.DUMMYFUNCTION("GOOGLETRANSLATE(F7, ""de"", ""ur"")"),"ہیلین فشر (*1984) Wöllstein میں پلی بڑھی اور سب سے کامیاب جرمن پاپ گلوکارہ بنی۔ ""بریتھ لیس تھرو دی نائٹ"" جیسی کامیاب فلمیں اور متعدد ایوارڈز اس کے کیریئر کو تشکیل دیتے ہیں۔")</f>
        <v>ہیلین فشر (*1984) Wöllstein میں پلی بڑھی اور سب سے کامیاب جرمن پاپ گلوکارہ بنی۔ "بریتھ لیس تھرو دی نائٹ" جیسی کامیاب فلمیں اور متعدد ایوارڈز اس کے کیریئر کو تشکیل دیتے ہیں۔</v>
      </c>
    </row>
    <row r="8">
      <c r="A8" s="1">
        <v>7.0</v>
      </c>
      <c r="B8" s="1" t="s">
        <v>24</v>
      </c>
      <c r="C8" s="1" t="s">
        <v>25</v>
      </c>
      <c r="D8" s="1">
        <v>501389.0</v>
      </c>
      <c r="E8" s="1">
        <v>77089.0</v>
      </c>
      <c r="F8" s="1" t="s">
        <v>26</v>
      </c>
      <c r="G8" s="1" t="str">
        <f>IFERROR(__xludf.DUMMYFUNCTION("GOOGLETRANSLATE(F8, ""de"", ""ur"")"),"رائن پر 132 میٹر اونچی لوریلی راک لیجنڈ میں ڈوبی ہوئی ہے: کہا جاتا ہے کہ ایک متسیانگنا نے اپنے گانے سے کشتی والوں کو اپنے عذاب کی طرف راغب کیا۔ آج یہ نقطہ نظر اپر مڈل رائن ویلی یونیسکو کے عالمی ثقافتی ورثے کا حصہ ہے۔")</f>
        <v>رائن پر 132 میٹر اونچی لوریلی راک لیجنڈ میں ڈوبی ہوئی ہے: کہا جاتا ہے کہ ایک متسیانگنا نے اپنے گانے سے کشتی والوں کو اپنے عذاب کی طرف راغب کیا۔ آج یہ نقطہ نظر اپر مڈل رائن ویلی یونیسکو کے عالمی ثقافتی ورثے کا حصہ ہے۔</v>
      </c>
    </row>
    <row r="9">
      <c r="A9" s="1">
        <v>8.0</v>
      </c>
      <c r="B9" s="1" t="s">
        <v>27</v>
      </c>
      <c r="C9" s="1" t="s">
        <v>28</v>
      </c>
      <c r="D9" s="1">
        <v>501172.0</v>
      </c>
      <c r="E9" s="1">
        <v>76071.0</v>
      </c>
      <c r="F9" s="1" t="s">
        <v>29</v>
      </c>
      <c r="G9" s="1" t="str">
        <f>IFERROR(__xludf.DUMMYFUNCTION("GOOGLETRANSLATE(F9, ""de"", ""ur"")"),"بوپارڈ کے قریب رائن لوپ پر کھڑی سلیٹ کی ڈھلوانوں پر ریسلنگ بیلیں اگتی ہیں۔ بوپارڈر ہیم نے صدیوں سے مڈل رائن کی شراب اگانے کی روایت کو دستاویز کیا ہے۔")</f>
        <v>بوپارڈ کے قریب رائن لوپ پر کھڑی سلیٹ کی ڈھلوانوں پر ریسلنگ بیلیں اگتی ہیں۔ بوپارڈر ہیم نے صدیوں سے مڈل رائن کی شراب اگانے کی روایت کو دستاویز کیا ہے۔</v>
      </c>
    </row>
    <row r="10">
      <c r="A10" s="1">
        <v>9.0</v>
      </c>
      <c r="B10" s="1" t="s">
        <v>30</v>
      </c>
      <c r="C10" s="1" t="s">
        <v>31</v>
      </c>
      <c r="D10" s="1">
        <v>503569.0</v>
      </c>
      <c r="E10" s="1">
        <v>75881.0</v>
      </c>
      <c r="F10" s="1" t="s">
        <v>32</v>
      </c>
      <c r="G10" s="1" t="str">
        <f>IFERROR(__xludf.DUMMYFUNCTION("GOOGLETRANSLATE(F10, ""de"", ""ur"")"),"Moselle اور Rhine Deutsches Eck میں ایک ساتھ بہتے ہیں۔ قیصر ولہیم اول (1897) کا گھڑ سوار مجسمہ سلطنت کے قیام کی یاد مناتا ہے اور 1945 کے بعد جرمن اتحاد کی علامت بن گیا۔")</f>
        <v>Moselle اور Rhine Deutsches Eck میں ایک ساتھ بہتے ہیں۔ قیصر ولہیم اول (1897) کا گھڑ سوار مجسمہ سلطنت کے قیام کی یاد مناتا ہے اور 1945 کے بعد جرمن اتحاد کی علامت بن گیا۔</v>
      </c>
    </row>
    <row r="11">
      <c r="A11" s="1">
        <v>10.0</v>
      </c>
      <c r="B11" s="1" t="s">
        <v>33</v>
      </c>
      <c r="C11" s="1" t="s">
        <v>34</v>
      </c>
      <c r="D11" s="1">
        <v>503341.0</v>
      </c>
      <c r="E11" s="1">
        <v>69476.0</v>
      </c>
      <c r="F11" s="1" t="s">
        <v>35</v>
      </c>
      <c r="G11" s="1" t="str">
        <f>IFERROR(__xludf.DUMMYFUNCTION("GOOGLETRANSLATE(F11, ""de"", ""ur"")"),"جرمنی کی ہائی ویز اپنی رفتار کی حد نہ ہونے کی وجہ سے مشہور ہیں۔ Nürburgring کے Nordschleife پر، ڈرائیور قانونی طور پر تیز رفتاری کا تجربہ کر سکتے ہیں - موٹر وے کے رش کا ایک کنٹرول شدہ ہم منصب۔")</f>
        <v>جرمنی کی ہائی ویز اپنی رفتار کی حد نہ ہونے کی وجہ سے مشہور ہیں۔ Nürburgring کے Nordschleife پر، ڈرائیور قانونی طور پر تیز رفتاری کا تجربہ کر سکتے ہیں - موٹر وے کے رش کا ایک کنٹرول شدہ ہم منصب۔</v>
      </c>
    </row>
    <row r="12">
      <c r="A12" s="1">
        <v>11.0</v>
      </c>
      <c r="B12" s="1" t="s">
        <v>36</v>
      </c>
      <c r="C12" s="1" t="s">
        <v>37</v>
      </c>
      <c r="D12" s="1">
        <v>507368.0</v>
      </c>
      <c r="E12" s="1">
        <v>7101.0</v>
      </c>
      <c r="F12" s="1" t="s">
        <v>38</v>
      </c>
      <c r="G12" s="1" t="str">
        <f>IFERROR(__xludf.DUMMYFUNCTION("GOOGLETRANSLATE(F12, ""de"", ""ur"")"),"لڈوگ وین بیتھوون (1770–1827) بون میں پیدا ہوئے۔ جس گھر میں وہ پیدا ہوا تھا اس میں موسیقار کے اصل آلات اور مخطوطات محفوظ ہیں، جن کے کام آج بھی کلاسیکی موسیقی کی شکل دے رہے ہیں۔")</f>
        <v>لڈوگ وین بیتھوون (1770–1827) بون میں پیدا ہوئے۔ جس گھر میں وہ پیدا ہوا تھا اس میں موسیقار کے اصل آلات اور مخطوطات محفوظ ہیں، جن کے کام آج بھی کلاسیکی موسیقی کی شکل دے رہے ہیں۔</v>
      </c>
    </row>
    <row r="13">
      <c r="A13" s="1">
        <v>12.0</v>
      </c>
      <c r="B13" s="1" t="s">
        <v>39</v>
      </c>
      <c r="C13" s="1" t="s">
        <v>40</v>
      </c>
      <c r="D13" s="1">
        <v>509403.0</v>
      </c>
      <c r="E13" s="1">
        <v>6957.0</v>
      </c>
      <c r="F13" s="1" t="s">
        <v>41</v>
      </c>
      <c r="G13" s="1" t="str">
        <f>IFERROR(__xludf.DUMMYFUNCTION("GOOGLETRANSLATE(F13, ""de"", ""ur"")"),"کولون کارنیول، جو 1823 سے منعقد ہوا، 11 نومبر سے ایش بدھ تک شہر کو ایک رنگین لوک میلے میں بدل دیتا ہے۔ اس کی خاص بات روز منڈے کی پریڈ ہے جس میں لاکھوں ملبوسات والے جیسٹرز موجود ہیں۔")</f>
        <v>کولون کارنیول، جو 1823 سے منعقد ہوا، 11 نومبر سے ایش بدھ تک شہر کو ایک رنگین لوک میلے میں بدل دیتا ہے۔ اس کی خاص بات روز منڈے کی پریڈ ہے جس میں لاکھوں ملبوسات والے جیسٹرز موجود ہیں۔</v>
      </c>
    </row>
    <row r="14">
      <c r="A14" s="1">
        <v>13.0</v>
      </c>
      <c r="B14" s="1" t="s">
        <v>42</v>
      </c>
      <c r="C14" s="1" t="s">
        <v>43</v>
      </c>
      <c r="D14" s="1">
        <v>509413.0</v>
      </c>
      <c r="E14" s="1">
        <v>69583.0</v>
      </c>
      <c r="F14" s="1" t="s">
        <v>44</v>
      </c>
      <c r="G14" s="1" t="str">
        <f>IFERROR(__xludf.DUMMYFUNCTION("GOOGLETRANSLATE(F14, ""de"", ""ur"")"),"Konrad Adenauer (1876–1967) کولون کے میئر اور وفاقی جمہوریہ کے پہلے چانسلر تھے۔ Rhöndorf میں اس کا گھر تعمیر نو اور مغرب کے ساتھ تعلقات کے بارے میں ان کے عزم کے بارے میں بتاتا ہے۔")</f>
        <v>Konrad Adenauer (1876–1967) کولون کے میئر اور وفاقی جمہوریہ کے پہلے چانسلر تھے۔ Rhöndorf میں اس کا گھر تعمیر نو اور مغرب کے ساتھ تعلقات کے بارے میں ان کے عزم کے بارے میں بتاتا ہے۔</v>
      </c>
    </row>
    <row r="15">
      <c r="A15" s="1">
        <v>14.0</v>
      </c>
      <c r="B15" s="1" t="s">
        <v>45</v>
      </c>
      <c r="C15" s="1" t="s">
        <v>46</v>
      </c>
      <c r="D15" s="1">
        <v>512275.0</v>
      </c>
      <c r="E15" s="1">
        <v>6937.0</v>
      </c>
      <c r="F15" s="1" t="s">
        <v>47</v>
      </c>
      <c r="G15" s="1" t="str">
        <f>IFERROR(__xludf.DUMMYFUNCTION("GOOGLETRANSLATE(F15, ""de"", ""ur"")"),"1856 میں پائی جانے والی نینڈرتھل کی کھوپڑی نے انسانی ارتقا کی سمجھ میں انقلاب برپا کردیا۔ نینڈرتھل میوزیم ہمارے جیواشم رشتہ داروں کی تاریخ کو واضح کرتا ہے۔")</f>
        <v>1856 میں پائی جانے والی نینڈرتھل کی کھوپڑی نے انسانی ارتقا کی سمجھ میں انقلاب برپا کردیا۔ نینڈرتھل میوزیم ہمارے جیواشم رشتہ داروں کی تاریخ کو واضح کرتا ہے۔</v>
      </c>
    </row>
    <row r="16">
      <c r="A16" s="1">
        <v>15.0</v>
      </c>
      <c r="B16" s="1" t="s">
        <v>48</v>
      </c>
      <c r="C16" s="1" t="s">
        <v>49</v>
      </c>
      <c r="D16" s="1">
        <v>512277.0</v>
      </c>
      <c r="E16" s="1">
        <v>67735.0</v>
      </c>
      <c r="F16" s="1" t="s">
        <v>50</v>
      </c>
      <c r="G16" s="1" t="str">
        <f>IFERROR(__xludf.DUMMYFUNCTION("GOOGLETRANSLATE(F16, ""de"", ""ur"")"),"ڈسلڈورف میڈیا ہاربر میں پرانے شہر، فیشن اور تجارتی میلے کی ثقافت کو جدید فن تعمیر کے ساتھ جوڑتا ہے۔ رائن ٹاور رائن میٹروپولیس اور اس کے فن اور خریداری کے منظر کا ایک خوبصورت منظر پیش کرتا ہے۔")</f>
        <v>ڈسلڈورف میڈیا ہاربر میں پرانے شہر، فیشن اور تجارتی میلے کی ثقافت کو جدید فن تعمیر کے ساتھ جوڑتا ہے۔ رائن ٹاور رائن میٹروپولیس اور اس کے فن اور خریداری کے منظر کا ایک خوبصورت منظر پیش کرتا ہے۔</v>
      </c>
    </row>
    <row r="17">
      <c r="A17" s="1">
        <v>16.0</v>
      </c>
      <c r="B17" s="1" t="s">
        <v>51</v>
      </c>
      <c r="C17" s="1" t="s">
        <v>52</v>
      </c>
      <c r="D17" s="1">
        <v>514344.0</v>
      </c>
      <c r="E17" s="1">
        <v>67573.0</v>
      </c>
      <c r="F17" s="1" t="s">
        <v>53</v>
      </c>
      <c r="G17" s="1" t="str">
        <f>IFERROR(__xludf.DUMMYFUNCTION("GOOGLETRANSLATE(F17, ""de"", ""ur"")"),"Duisburg اندرونی بندرگاہ، جو کبھی ذخیرہ اور تجارتی بندرگاہ تھی، ایک ثقافتی اور دفتری ضلع میں تبدیل ہو گئی۔ بحال شدہ اناج اور عجائب گھر فولاد سے ثقافت میں کامیاب ساختی تبدیلی کو ظاہر کرتے ہیں۔")</f>
        <v>Duisburg اندرونی بندرگاہ، جو کبھی ذخیرہ اور تجارتی بندرگاہ تھی، ایک ثقافتی اور دفتری ضلع میں تبدیل ہو گئی۔ بحال شدہ اناج اور عجائب گھر فولاد سے ثقافت میں کامیاب ساختی تبدیلی کو ظاہر کرتے ہیں۔</v>
      </c>
    </row>
    <row r="18">
      <c r="A18" s="1">
        <v>17.0</v>
      </c>
      <c r="B18" s="1" t="s">
        <v>54</v>
      </c>
      <c r="C18" s="1" t="s">
        <v>55</v>
      </c>
      <c r="D18" s="1">
        <v>514839.0</v>
      </c>
      <c r="E18" s="1">
        <v>70226.0</v>
      </c>
      <c r="F18" s="1" t="s">
        <v>56</v>
      </c>
      <c r="G18" s="1" t="str">
        <f>IFERROR(__xludf.DUMMYFUNCTION("GOOGLETRANSLATE(F18, ""de"", ""ur"")"),"غیر استعمال شدہ زولورین کان، ایک بوہاؤس صنعتی جوڑا، یونیسکو کے عالمی ثقافتی ورثے کی جگہ ہے۔ نمائشیں اور واقعات روہر کے علاقے کی کان کنی کی تاریخ کو زندہ کرتے ہیں۔")</f>
        <v>غیر استعمال شدہ زولورین کان، ایک بوہاؤس صنعتی جوڑا، یونیسکو کے عالمی ثقافتی ورثے کی جگہ ہے۔ نمائشیں اور واقعات روہر کے علاقے کی کان کنی کی تاریخ کو زندہ کرتے ہیں۔</v>
      </c>
    </row>
    <row r="19">
      <c r="A19" s="1">
        <v>18.0</v>
      </c>
      <c r="B19" s="1" t="s">
        <v>57</v>
      </c>
      <c r="C19" s="1" t="s">
        <v>58</v>
      </c>
      <c r="D19" s="1">
        <v>5149.0</v>
      </c>
      <c r="E19" s="1">
        <v>70375.0</v>
      </c>
      <c r="F19" s="1" t="s">
        <v>59</v>
      </c>
      <c r="G19" s="1" t="str">
        <f>IFERROR(__xludf.DUMMYFUNCTION("GOOGLETRANSLATE(F19, ""de"", ""ur"")"),"Zollverein کوکنگ پلانٹ نے 1993 تک کوئلے کو کوک میں پروسیس کیا اور اب عالمی ثقافتی ورثے کا حصہ ہے۔ زائرین ایک شاندار صنعتی یادگار کے سمیٹنے والے ٹاورز، بھٹیوں اور دیکھنے کے پلیٹ فارم کو تلاش کرتے ہیں۔")</f>
        <v>Zollverein کوکنگ پلانٹ نے 1993 تک کوئلے کو کوک میں پروسیس کیا اور اب عالمی ثقافتی ورثے کا حصہ ہے۔ زائرین ایک شاندار صنعتی یادگار کے سمیٹنے والے ٹاورز، بھٹیوں اور دیکھنے کے پلیٹ فارم کو تلاش کرتے ہیں۔</v>
      </c>
    </row>
    <row r="20">
      <c r="A20" s="1">
        <v>19.0</v>
      </c>
      <c r="B20" s="1" t="s">
        <v>60</v>
      </c>
      <c r="C20" s="1" t="s">
        <v>61</v>
      </c>
      <c r="D20" s="1">
        <v>514925.0</v>
      </c>
      <c r="E20" s="1">
        <v>74517.0</v>
      </c>
      <c r="F20" s="1" t="s">
        <v>62</v>
      </c>
      <c r="G20" s="1" t="str">
        <f>IFERROR(__xludf.DUMMYFUNCTION("GOOGLETRANSLATE(F20, ""de"", ""ur"")"),"لیجنڈری ""یلو وال"" والا بوروسیا ڈورٹمنڈ کا اسٹیڈیم بنڈس لیگا کے پرستاروں کی ثقافت کی نمائندگی کرتا ہے، جس نے 1963 سے اب تک لاکھوں لوگوں کو خوش کیا ہے۔")</f>
        <v>لیجنڈری "یلو وال" والا بوروسیا ڈورٹمنڈ کا اسٹیڈیم بنڈس لیگا کے پرستاروں کی ثقافت کی نمائندگی کرتا ہے، جس نے 1963 سے اب تک لاکھوں لوگوں کو خوش کیا ہے۔</v>
      </c>
    </row>
    <row r="21" ht="15.75" customHeight="1">
      <c r="A21" s="1">
        <v>20.0</v>
      </c>
      <c r="B21" s="1" t="s">
        <v>63</v>
      </c>
      <c r="C21" s="1" t="s">
        <v>64</v>
      </c>
      <c r="D21" s="1">
        <v>519628.0</v>
      </c>
      <c r="E21" s="1">
        <v>76254.0</v>
      </c>
      <c r="F21" s="1" t="s">
        <v>65</v>
      </c>
      <c r="G21" s="1" t="str">
        <f>IFERROR(__xludf.DUMMYFUNCTION("GOOGLETRANSLATE(F21, ""de"", ""ur"")"),"منسٹر کی پرنسپل مارکیٹ جس میں گیبلڈ مکانات اور آرکیڈز، ٹاؤن ہال اور لیمبرٹیکرچے قرون وسطی کے فن تعمیر اور تعمیر نو کو یکجا کرتے ہیں۔ سائیکلیں اور امن کی تاریخ شہر کے منظر کو نمایاں کرتی ہے۔")</f>
        <v>منسٹر کی پرنسپل مارکیٹ جس میں گیبلڈ مکانات اور آرکیڈز، ٹاؤن ہال اور لیمبرٹیکرچے قرون وسطی کے فن تعمیر اور تعمیر نو کو یکجا کرتے ہیں۔ سائیکلیں اور امن کی تاریخ شہر کے منظر کو نمایاں کرتی ہے۔</v>
      </c>
    </row>
    <row r="22" ht="15.75" customHeight="1">
      <c r="A22" s="1">
        <v>21.0</v>
      </c>
      <c r="B22" s="1" t="s">
        <v>66</v>
      </c>
      <c r="C22" s="1" t="s">
        <v>67</v>
      </c>
      <c r="D22" s="1">
        <v>520302.0</v>
      </c>
      <c r="E22" s="1">
        <v>85325.0</v>
      </c>
      <c r="F22" s="1" t="s">
        <v>68</v>
      </c>
      <c r="G22" s="1" t="str">
        <f>IFERROR(__xludf.DUMMYFUNCTION("GOOGLETRANSLATE(F22, ""de"", ""ur"")"),"ٹیوٹوبرگ جنگل کے کنارے پر قرون وسطی کے اسپرینبرگ ٹاورز بیلفیلڈ پر ہے، جو تاریخی طور پر وارس کی جنگ (9 AD) کے لیے جانا جاتا ہے۔")</f>
        <v>ٹیوٹوبرگ جنگل کے کنارے پر قرون وسطی کے اسپرینبرگ ٹاورز بیلفیلڈ پر ہے، جو تاریخی طور پر وارس کی جنگ (9 AD) کے لیے جانا جاتا ہے۔</v>
      </c>
    </row>
    <row r="23" ht="15.75" customHeight="1">
      <c r="A23" s="1">
        <v>22.0</v>
      </c>
      <c r="B23" s="1" t="s">
        <v>69</v>
      </c>
      <c r="C23" s="1" t="s">
        <v>70</v>
      </c>
      <c r="D23" s="1">
        <v>523759.0</v>
      </c>
      <c r="E23" s="1">
        <v>9732.0</v>
      </c>
      <c r="F23" s="1" t="s">
        <v>71</v>
      </c>
      <c r="G23" s="1" t="str">
        <f>IFERROR(__xludf.DUMMYFUNCTION("GOOGLETRANSLATE(F23, ""de"", ""ur"")"),"ہینوور کا ولہیلمین نیو ٹاؤن ہال (1913) شہر کی تعمیر نو کی علامت ہے، جو اب تجارتی میلے کا مقام ہے اور ہیرن ہاؤسن گارڈنز کے ساتھ ایک سبز شہر ہے۔")</f>
        <v>ہینوور کا ولہیلمین نیو ٹاؤن ہال (1913) شہر کی تعمیر نو کی علامت ہے، جو اب تجارتی میلے کا مقام ہے اور ہیرن ہاؤسن گارڈنز کے ساتھ ایک سبز شہر ہے۔</v>
      </c>
    </row>
    <row r="24" ht="15.75" customHeight="1">
      <c r="A24" s="1">
        <v>23.0</v>
      </c>
      <c r="B24" s="1" t="s">
        <v>72</v>
      </c>
      <c r="C24" s="1" t="s">
        <v>73</v>
      </c>
      <c r="D24" s="1">
        <v>523759.0</v>
      </c>
      <c r="E24" s="1">
        <v>9732.0</v>
      </c>
      <c r="F24" s="1" t="s">
        <v>74</v>
      </c>
      <c r="G24" s="1" t="str">
        <f>IFERROR(__xludf.DUMMYFUNCTION("GOOGLETRANSLATE(F24, ""de"", ""ur"")"),"سیاسی تھیوریسٹ ہننا آرینڈٹ (1906–1975) ہینوور میں پیدا ہوئیں۔ Hannah-Arendt-Platz جمہوریت، آزادی اور ذمہ داری کی یاد دہانی ہے۔")</f>
        <v>سیاسی تھیوریسٹ ہننا آرینڈٹ (1906–1975) ہینوور میں پیدا ہوئیں۔ Hannah-Arendt-Platz جمہوریت، آزادی اور ذمہ داری کی یاد دہانی ہے۔</v>
      </c>
    </row>
    <row r="25" ht="15.75" customHeight="1">
      <c r="A25" s="1">
        <v>24.0</v>
      </c>
      <c r="B25" s="1" t="s">
        <v>75</v>
      </c>
      <c r="C25" s="1" t="s">
        <v>76</v>
      </c>
      <c r="D25" s="1">
        <v>523728.0</v>
      </c>
      <c r="E25" s="1">
        <v>97441.0</v>
      </c>
      <c r="F25" s="1" t="s">
        <v>77</v>
      </c>
      <c r="G25" s="1" t="str">
        <f>IFERROR(__xludf.DUMMYFUNCTION("GOOGLETRANSLATE(F25, ""de"", ""ur"")"),"ایکسپو 2000 جرمنی میں پہلی عالمی نمائش تھی۔ ایکسپو پارک میں پویلینز اور نئی عمارتیں لوگوں، فطرت اور ٹیکنالوجی کے بارے میں جدید تصورات کی یاد دلاتی ہیں۔")</f>
        <v>ایکسپو 2000 جرمنی میں پہلی عالمی نمائش تھی۔ ایکسپو پارک میں پویلینز اور نئی عمارتیں لوگوں، فطرت اور ٹیکنالوجی کے بارے میں جدید تصورات کی یاد دلاتی ہیں۔</v>
      </c>
    </row>
    <row r="26" ht="15.75" customHeight="1">
      <c r="A26" s="1">
        <v>25.0</v>
      </c>
      <c r="B26" s="1" t="s">
        <v>78</v>
      </c>
      <c r="C26" s="1" t="s">
        <v>79</v>
      </c>
      <c r="D26" s="1">
        <v>523909.0</v>
      </c>
      <c r="E26" s="1">
        <v>97335.0</v>
      </c>
      <c r="F26" s="1" t="s">
        <v>80</v>
      </c>
      <c r="G26" s="1" t="str">
        <f>IFERROR(__xludf.DUMMYFUNCTION("GOOGLETRANSLATE(F26, ""de"", ""ur"")"),"دوبارہ تعمیر شدہ ہیرن ہاؤسن محل مشہور باروک ہیرن ہاؤسن گارڈنز کے وسط میں پانی کی خصوصیات اور ایک نباتاتی پہاڑی باغ کے ساتھ واقع ہے۔")</f>
        <v>دوبارہ تعمیر شدہ ہیرن ہاؤسن محل مشہور باروک ہیرن ہاؤسن گارڈنز کے وسط میں پانی کی خصوصیات اور ایک نباتاتی پہاڑی باغ کے ساتھ واقع ہے۔</v>
      </c>
    </row>
    <row r="27" ht="15.75" customHeight="1">
      <c r="A27" s="1">
        <v>26.0</v>
      </c>
      <c r="B27" s="1" t="s">
        <v>81</v>
      </c>
      <c r="C27" s="1" t="s">
        <v>81</v>
      </c>
      <c r="D27" s="1">
        <v>522689.0</v>
      </c>
      <c r="E27" s="1">
        <v>105268.0</v>
      </c>
      <c r="F27" s="1" t="s">
        <v>82</v>
      </c>
      <c r="G27" s="1" t="str">
        <f>IFERROR(__xludf.DUMMYFUNCTION("GOOGLETRANSLATE(F27, ""de"", ""ur"")"),"گیلف کیسل کا اگواڑا، جو جنگ میں تباہ ہو گیا تھا، 2007 میں ایک جدید شاپنگ اور ثقافتی مرکز کے سامنے رکھا گیا تھا - جو ایک نئے روپ میں روایت کی ایک مثال ہے۔")</f>
        <v>گیلف کیسل کا اگواڑا، جو جنگ میں تباہ ہو گیا تھا، 2007 میں ایک جدید شاپنگ اور ثقافتی مرکز کے سامنے رکھا گیا تھا - جو ایک نئے روپ میں روایت کی ایک مثال ہے۔</v>
      </c>
    </row>
    <row r="28" ht="15.75" customHeight="1">
      <c r="A28" s="1">
        <v>27.0</v>
      </c>
      <c r="B28" s="1" t="s">
        <v>83</v>
      </c>
      <c r="C28" s="1" t="s">
        <v>84</v>
      </c>
      <c r="D28" s="1">
        <v>524224.0</v>
      </c>
      <c r="E28" s="1">
        <v>107864.0</v>
      </c>
      <c r="F28" s="1" t="s">
        <v>85</v>
      </c>
      <c r="G28" s="1" t="str">
        <f>IFERROR(__xludf.DUMMYFUNCTION("GOOGLETRANSLATE(F28, ""de"", ""ur"")"),"فینو سائنس سینٹر، جسے زہا حدید نے ڈیزائن کیا ہے، قدرتی مظاہر کو انٹرایکٹو انداز میں پیش کرتا ہے۔ یہ Wolfsburg کے Autostadt اور VW کی تاریخ کو سائنسی تجربات کے ساتھ مکمل کرتا ہے۔")</f>
        <v>فینو سائنس سینٹر، جسے زہا حدید نے ڈیزائن کیا ہے، قدرتی مظاہر کو انٹرایکٹو انداز میں پیش کرتا ہے۔ یہ Wolfsburg کے Autostadt اور VW کی تاریخ کو سائنسی تجربات کے ساتھ مکمل کرتا ہے۔</v>
      </c>
    </row>
    <row r="29" ht="15.75" customHeight="1">
      <c r="A29" s="1">
        <v>28.0</v>
      </c>
      <c r="B29" s="1" t="s">
        <v>86</v>
      </c>
      <c r="C29" s="1" t="s">
        <v>87</v>
      </c>
      <c r="D29" s="1">
        <v>524225.0</v>
      </c>
      <c r="E29" s="1">
        <v>107864.0</v>
      </c>
      <c r="F29" s="1" t="s">
        <v>88</v>
      </c>
      <c r="G29" s="1" t="str">
        <f>IFERROR(__xludf.DUMMYFUNCTION("GOOGLETRANSLATE(F29, ""de"", ""ur"")"),"1938 میں VW Beetle کے مقام کے طور پر قائم کیا گیا، Wolfsburg's Autostadt کمپنی کی تاریخ اور پویلینز اور ونٹیج کاروں کے ساتھ آٹوموبائل بتاتا ہے۔")</f>
        <v>1938 میں VW Beetle کے مقام کے طور پر قائم کیا گیا، Wolfsburg's Autostadt کمپنی کی تاریخ اور پویلینز اور ونٹیج کاروں کے ساتھ آٹوموبائل بتاتا ہے۔</v>
      </c>
    </row>
    <row r="30" ht="15.75" customHeight="1">
      <c r="A30" s="1">
        <v>29.0</v>
      </c>
      <c r="B30" s="1" t="s">
        <v>89</v>
      </c>
      <c r="C30" s="1" t="s">
        <v>90</v>
      </c>
      <c r="D30" s="1">
        <v>519045.0</v>
      </c>
      <c r="E30" s="1">
        <v>104297.0</v>
      </c>
      <c r="F30" s="1" t="s">
        <v>91</v>
      </c>
      <c r="G30" s="1" t="str">
        <f>IFERROR(__xludf.DUMMYFUNCTION("GOOGLETRANSLATE(F30, ""de"", ""ur"")"),"گوسلار کا آدھا لکڑی والا پرانا قصبہ اور راممیلسبرگ ایسک کان مشترکہ یونیسکو کے عالمی ثقافتی ورثے کی جگہ بناتی ہے: ہرز ایسک کی کان کنی کا ایک ہزار سالہ قرون وسطیٰ کے شاہی شہر سے ملتا ہے۔")</f>
        <v>گوسلار کا آدھا لکڑی والا پرانا قصبہ اور راممیلسبرگ ایسک کان مشترکہ یونیسکو کے عالمی ثقافتی ورثے کی جگہ بناتی ہے: ہرز ایسک کی کان کنی کا ایک ہزار سالہ قرون وسطیٰ کے شاہی شہر سے ملتا ہے۔</v>
      </c>
    </row>
    <row r="31" ht="15.75" customHeight="1">
      <c r="A31" s="1">
        <v>30.0</v>
      </c>
      <c r="B31" s="1" t="s">
        <v>92</v>
      </c>
      <c r="C31" s="1" t="s">
        <v>93</v>
      </c>
      <c r="D31" s="1">
        <v>515403.0</v>
      </c>
      <c r="E31" s="1">
        <v>99357.0</v>
      </c>
      <c r="F31" s="1" t="s">
        <v>94</v>
      </c>
      <c r="G31" s="1" t="str">
        <f>IFERROR(__xludf.DUMMYFUNCTION("GOOGLETRANSLATE(F31, ""de"", ""ur"")"),"گوٹنگن یونیورسٹی نے 1737 کے بعد سے اس شہر کی شکل اختیار کر لی ہے۔ گانسیلیسل فاؤنٹین کو ""دنیا کی سب سے زیادہ بوسہ لینے والی لڑکی"" سمجھا جاتا ہے کیونکہ نئے گریجویٹ ڈاکٹریٹ طلباء مجسمے کو چومتے ہیں۔")</f>
        <v>گوٹنگن یونیورسٹی نے 1737 کے بعد سے اس شہر کی شکل اختیار کر لی ہے۔ گانسیلیسل فاؤنٹین کو "دنیا کی سب سے زیادہ بوسہ لینے والی لڑکی" سمجھا جاتا ہے کیونکہ نئے گریجویٹ ڈاکٹریٹ طلباء مجسمے کو چومتے ہیں۔</v>
      </c>
    </row>
    <row r="32" ht="15.75" customHeight="1">
      <c r="A32" s="1">
        <v>31.0</v>
      </c>
      <c r="B32" s="1" t="s">
        <v>95</v>
      </c>
      <c r="C32" s="1" t="s">
        <v>96</v>
      </c>
      <c r="D32" s="1">
        <v>513155.0</v>
      </c>
      <c r="E32" s="1">
        <v>94962.0</v>
      </c>
      <c r="F32" s="1" t="s">
        <v>97</v>
      </c>
      <c r="G32" s="1" t="str">
        <f>IFERROR(__xludf.DUMMYFUNCTION("GOOGLETRANSLATE(F32, ""de"", ""ur"")"),"جیکب اور ولہیم گریم نے کیسل میں اپنی دنیا کی مشہور پریوں کی کہانیاں جمع کیں۔ The Grimm World مخطوطات اور لسانی ورثہ پیش کرتا ہے۔")</f>
        <v>جیکب اور ولہیم گریم نے کیسل میں اپنی دنیا کی مشہور پریوں کی کہانیاں جمع کیں۔ The Grimm World مخطوطات اور لسانی ورثہ پیش کرتا ہے۔</v>
      </c>
    </row>
    <row r="33" ht="15.75" customHeight="1">
      <c r="A33" s="1">
        <v>32.0</v>
      </c>
      <c r="B33" s="1" t="s">
        <v>98</v>
      </c>
      <c r="C33" s="1" t="s">
        <v>99</v>
      </c>
      <c r="D33" s="1">
        <v>513118.0</v>
      </c>
      <c r="E33" s="1">
        <v>9497.0</v>
      </c>
      <c r="F33" s="1" t="s">
        <v>100</v>
      </c>
      <c r="G33" s="1" t="str">
        <f>IFERROR(__xludf.DUMMYFUNCTION("GOOGLETRANSLATE(F33, ""de"", ""ur"")"),"دستاویزی، جو ہر پانچ سال بعد ہوتی ہے، کسل کو عصری آرٹ کا عالمی دارالحکومت بناتی ہے اور شہر کو ایک بہت بڑے اوپن ایئر میوزیم میں تبدیل کرتی ہے۔")</f>
        <v>دستاویزی، جو ہر پانچ سال بعد ہوتی ہے، کسل کو عصری آرٹ کا عالمی دارالحکومت بناتی ہے اور شہر کو ایک بہت بڑے اوپن ایئر میوزیم میں تبدیل کرتی ہے۔</v>
      </c>
    </row>
    <row r="34" ht="15.75" customHeight="1">
      <c r="A34" s="1">
        <v>33.0</v>
      </c>
      <c r="B34" s="1" t="s">
        <v>101</v>
      </c>
      <c r="C34" s="1" t="s">
        <v>102</v>
      </c>
      <c r="D34" s="1">
        <v>513116.0</v>
      </c>
      <c r="E34" s="1">
        <v>94797.0</v>
      </c>
      <c r="F34" s="1" t="s">
        <v>103</v>
      </c>
      <c r="G34" s="1" t="str">
        <f>IFERROR(__xludf.DUMMYFUNCTION("GOOGLETRANSLATE(F34, ""de"", ""ur"")"),"ہرکولیس کے مجسمے اور باروک پانی کی خصوصیات کے ساتھ یورپ کا سب سے بڑا پہاڑی پارک یونیسکو کا عالمی ثقافتی ورثہ ہے اور لینڈ گراو کے باغیچے کے فن کا ثبوت ہے۔")</f>
        <v>ہرکولیس کے مجسمے اور باروک پانی کی خصوصیات کے ساتھ یورپ کا سب سے بڑا پہاڑی پارک یونیسکو کا عالمی ثقافتی ورثہ ہے اور لینڈ گراو کے باغیچے کے فن کا ثبوت ہے۔</v>
      </c>
    </row>
    <row r="35" ht="15.75" customHeight="1">
      <c r="A35" s="1">
        <v>34.0</v>
      </c>
      <c r="B35" s="1" t="s">
        <v>104</v>
      </c>
      <c r="C35" s="1" t="s">
        <v>105</v>
      </c>
      <c r="D35" s="1">
        <v>509711.0</v>
      </c>
      <c r="E35" s="1">
        <v>103277.0</v>
      </c>
      <c r="F35" s="1" t="s">
        <v>106</v>
      </c>
      <c r="G35" s="1" t="str">
        <f>IFERROR(__xludf.DUMMYFUNCTION("GOOGLETRANSLATE(F35, ""de"", ""ur"")"),"1817 میں وارٹبرگ کے طلباء نے قومی اتحاد اور شہری آزادیوں کا مطالبہ کیا۔ یہ قلعہ لوتھر کے بائبل کے ترجمہ کے لیے بھی مشہور ہے۔")</f>
        <v>1817 میں وارٹبرگ کے طلباء نے قومی اتحاد اور شہری آزادیوں کا مطالبہ کیا۔ یہ قلعہ لوتھر کے بائبل کے ترجمہ کے لیے بھی مشہور ہے۔</v>
      </c>
    </row>
    <row r="36" ht="15.75" customHeight="1">
      <c r="A36" s="1">
        <v>35.0</v>
      </c>
      <c r="B36" s="1" t="s">
        <v>107</v>
      </c>
      <c r="C36" s="1" t="s">
        <v>108</v>
      </c>
      <c r="D36" s="1">
        <v>509848.0</v>
      </c>
      <c r="E36" s="1">
        <v>110299.0</v>
      </c>
      <c r="F36" s="1" t="s">
        <v>109</v>
      </c>
      <c r="G36" s="1" t="str">
        <f>IFERROR(__xludf.DUMMYFUNCTION("GOOGLETRANSLATE(F36, ""de"", ""ur"")"),"گوتھک ایرفرٹ کیتھیڈرل میں گلوریوسا ہے، جو قرون وسطیٰ کی سب سے بڑی فری جھولنے والی گھنٹی ہے۔ مارٹن لوتھر کو یہاں 1507 میں پادری مقرر کیا گیا تھا۔")</f>
        <v>گوتھک ایرفرٹ کیتھیڈرل میں گلوریوسا ہے، جو قرون وسطیٰ کی سب سے بڑی فری جھولنے والی گھنٹی ہے۔ مارٹن لوتھر کو یہاں 1507 میں پادری مقرر کیا گیا تھا۔</v>
      </c>
    </row>
    <row r="37" ht="15.75" customHeight="1">
      <c r="A37" s="1">
        <v>36.0</v>
      </c>
      <c r="B37" s="1" t="s">
        <v>110</v>
      </c>
      <c r="C37" s="1" t="s">
        <v>111</v>
      </c>
      <c r="D37" s="1">
        <v>509795.0</v>
      </c>
      <c r="E37" s="1">
        <v>11329.0</v>
      </c>
      <c r="F37" s="1" t="s">
        <v>112</v>
      </c>
      <c r="G37" s="1" t="str">
        <f>IFERROR(__xludf.DUMMYFUNCTION("GOOGLETRANSLATE(F37, ""de"", ""ur"")"),"گوئٹے کے گھر میں شاعر کے اصل کمرے اور مجموعے دکھائے گئے ہیں، جنہوں نے شیلر کے ساتھ مل کر ویمر کلاسیکیزم کو تشکیل دیا۔")</f>
        <v>گوئٹے کے گھر میں شاعر کے اصل کمرے اور مجموعے دکھائے گئے ہیں، جنہوں نے شیلر کے ساتھ مل کر ویمر کلاسیکیزم کو تشکیل دیا۔</v>
      </c>
    </row>
    <row r="38" ht="15.75" customHeight="1">
      <c r="A38" s="1">
        <v>37.0</v>
      </c>
      <c r="B38" s="1" t="s">
        <v>113</v>
      </c>
      <c r="C38" s="1" t="s">
        <v>114</v>
      </c>
      <c r="D38" s="1">
        <v>509793.0</v>
      </c>
      <c r="E38" s="1">
        <v>113292.0</v>
      </c>
      <c r="F38" s="1" t="s">
        <v>115</v>
      </c>
      <c r="G38" s="1" t="str">
        <f>IFERROR(__xludf.DUMMYFUNCTION("GOOGLETRANSLATE(F38, ""de"", ""ur"")"),"جمہوریہ ویمار کی کرنسی کی قدر میں کمی 1923 میں اپنے عروج پر پہنچ گئی: قیمتیں پھٹ گئیں، بچتیں گر گئیں - جرمن معاشی تاریخ میں ایک صدمہ۔")</f>
        <v>جمہوریہ ویمار کی کرنسی کی قدر میں کمی 1923 میں اپنے عروج پر پہنچ گئی: قیمتیں پھٹ گئیں، بچتیں گر گئیں - جرمن معاشی تاریخ میں ایک صدمہ۔</v>
      </c>
    </row>
    <row r="39" ht="15.75" customHeight="1">
      <c r="A39" s="1">
        <v>38.0</v>
      </c>
      <c r="B39" s="1" t="s">
        <v>116</v>
      </c>
      <c r="C39" s="1" t="s">
        <v>117</v>
      </c>
      <c r="D39" s="1">
        <v>505451.0</v>
      </c>
      <c r="E39" s="1">
        <v>112147.0</v>
      </c>
      <c r="F39" s="1" t="s">
        <v>118</v>
      </c>
      <c r="G39" s="1" t="str">
        <f>IFERROR(__xludf.DUMMYFUNCTION("GOOGLETRANSLATE(F39, ""de"", ""ur"")"),"170 کلومیٹر طویل Rennsteig Kammweg جرمنی کا سب سے پرانا طویل فاصلہ پیدل سفر کا راستہ ہے اور Thuringian جنگل کے ثقافتی اور قدرتی مناظر کو جوڑتا ہے۔")</f>
        <v>170 کلومیٹر طویل Rennsteig Kammweg جرمنی کا سب سے پرانا طویل فاصلہ پیدل سفر کا راستہ ہے اور Thuringian جنگل کے ثقافتی اور قدرتی مناظر کو جوڑتا ہے۔</v>
      </c>
    </row>
    <row r="40" ht="15.75" customHeight="1">
      <c r="A40" s="1">
        <v>39.0</v>
      </c>
      <c r="B40" s="1" t="s">
        <v>119</v>
      </c>
      <c r="C40" s="1" t="s">
        <v>120</v>
      </c>
      <c r="D40" s="1">
        <v>505477.0</v>
      </c>
      <c r="E40" s="1">
        <v>111681.0</v>
      </c>
      <c r="F40" s="1" t="s">
        <v>121</v>
      </c>
      <c r="G40" s="1" t="str">
        <f>IFERROR(__xludf.DUMMYFUNCTION("GOOGLETRANSLATE(F40, ""de"", ""ur"")"),"لوشا کو شیشے کے کرسمس ٹری بال کی جائے پیدائش سمجھا جاتا ہے۔ خاندانی کاروبار 1597 سے یہاں شیشہ اڑانے کے فن کو فروغ دے رہے ہیں۔")</f>
        <v>لوشا کو شیشے کے کرسمس ٹری بال کی جائے پیدائش سمجھا جاتا ہے۔ خاندانی کاروبار 1597 سے یہاں شیشہ اڑانے کے فن کو فروغ دے رہے ہیں۔</v>
      </c>
    </row>
    <row r="41" ht="15.75" customHeight="1">
      <c r="A41" s="1">
        <v>40.0</v>
      </c>
      <c r="B41" s="1" t="s">
        <v>122</v>
      </c>
      <c r="C41" s="1" t="s">
        <v>123</v>
      </c>
      <c r="D41" s="1">
        <v>502599.0</v>
      </c>
      <c r="E41" s="1">
        <v>109644.0</v>
      </c>
      <c r="F41" s="1" t="s">
        <v>124</v>
      </c>
      <c r="G41" s="1" t="str">
        <f>IFERROR(__xludf.DUMMYFUNCTION("GOOGLETRANSLATE(F41, ""de"", ""ur"")"),"ویسٹ کوبرگ، جرمنی کے سب سے بڑے قلعوں میں سے ایک، آرٹ کے ذخیرے رکھتا ہے اور 1530 میں لوتھر کی پناہ گاہ تھی۔")</f>
        <v>ویسٹ کوبرگ، جرمنی کے سب سے بڑے قلعوں میں سے ایک، آرٹ کے ذخیرے رکھتا ہے اور 1530 میں لوتھر کی پناہ گاہ تھی۔</v>
      </c>
    </row>
    <row r="42" ht="15.75" customHeight="1">
      <c r="A42" s="1">
        <v>41.0</v>
      </c>
      <c r="B42" s="1" t="s">
        <v>125</v>
      </c>
      <c r="C42" s="1" t="s">
        <v>126</v>
      </c>
      <c r="D42" s="1">
        <v>501011.0</v>
      </c>
      <c r="E42" s="1">
        <v>11438.0</v>
      </c>
      <c r="F42" s="1" t="s">
        <v>127</v>
      </c>
      <c r="G42" s="1" t="str">
        <f>IFERROR(__xludf.DUMMYFUNCTION("GOOGLETRANSLATE(F42, ""de"", ""ur"")"),"Kulmbach Bavarian Brewery میوزیم میں مضبوط بیئر اور Eisbock روایات پیش کرتا ہے اور ہر سال Beer Week مناتا ہے۔")</f>
        <v>Kulmbach Bavarian Brewery میوزیم میں مضبوط بیئر اور Eisbock روایات پیش کرتا ہے اور ہر سال Beer Week مناتا ہے۔</v>
      </c>
    </row>
    <row r="43" ht="15.75" customHeight="1">
      <c r="A43" s="1">
        <v>42.0</v>
      </c>
      <c r="B43" s="1" t="s">
        <v>128</v>
      </c>
      <c r="C43" s="1" t="s">
        <v>129</v>
      </c>
      <c r="D43" s="1">
        <v>501011.0</v>
      </c>
      <c r="E43" s="1">
        <v>11438.0</v>
      </c>
      <c r="F43" s="1" t="s">
        <v>130</v>
      </c>
      <c r="G43" s="1" t="str">
        <f>IFERROR(__xludf.DUMMYFUNCTION("GOOGLETRANSLATE(F43, ""de"", ""ur"")"),"پاکیزگی کے قانون کے ساتھ فرانکونی پیونگ آرٹ: کولمبچر مضبوط بیئر بین الاقوامی شہرت سے لطف اندوز ہوتے ہیں اور مقامی شناخت بناتے ہیں۔")</f>
        <v>پاکیزگی کے قانون کے ساتھ فرانکونی پیونگ آرٹ: کولمبچر مضبوط بیئر بین الاقوامی شہرت سے لطف اندوز ہوتے ہیں اور مقامی شناخت بناتے ہیں۔</v>
      </c>
    </row>
    <row r="44" ht="15.75" customHeight="1">
      <c r="A44" s="1">
        <v>43.0</v>
      </c>
      <c r="B44" s="1" t="s">
        <v>131</v>
      </c>
      <c r="C44" s="1" t="s">
        <v>132</v>
      </c>
      <c r="D44" s="1">
        <v>499487.0</v>
      </c>
      <c r="E44" s="1">
        <v>11576.0</v>
      </c>
      <c r="F44" s="1" t="s">
        <v>133</v>
      </c>
      <c r="G44" s="1" t="str">
        <f>IFERROR(__xludf.DUMMYFUNCTION("GOOGLETRANSLATE(F44, ""de"", ""ur"")"),"مارگریویئل اوپیرا ہاؤس (1748) ایک مکمل طور پر محفوظ باروک تھیٹر اور یونیسکو کے عالمی ثقافتی ورثے کی جگہ ہے - جو درباری تہوار کی ثقافت کا زیور ہے۔")</f>
        <v>مارگریویئل اوپیرا ہاؤس (1748) ایک مکمل طور پر محفوظ باروک تھیٹر اور یونیسکو کے عالمی ثقافتی ورثے کی جگہ ہے - جو درباری تہوار کی ثقافت کا زیور ہے۔</v>
      </c>
    </row>
    <row r="45" ht="15.75" customHeight="1">
      <c r="A45" s="1">
        <v>44.0</v>
      </c>
      <c r="B45" s="1" t="s">
        <v>134</v>
      </c>
      <c r="C45" s="1" t="s">
        <v>135</v>
      </c>
      <c r="D45" s="1">
        <v>499451.0</v>
      </c>
      <c r="E45" s="1">
        <v>115908.0</v>
      </c>
      <c r="F45" s="1" t="s">
        <v>136</v>
      </c>
      <c r="G45" s="1" t="str">
        <f>IFERROR(__xludf.DUMMYFUNCTION("GOOGLETRANSLATE(F45, ""de"", ""ur"")"),"فیسٹیول ہال، جو 1876 میں کھولا گیا تھا اور ویگنر کے میوزیکل ڈراموں کے لیے صوتی طور پر ڈیزائن کیا گیا تھا، پوری دنیا سے اوپیرا کے شائقین کو Bayreuth فیسٹیول کی طرف راغب کرتا ہے۔")</f>
        <v>فیسٹیول ہال، جو 1876 میں کھولا گیا تھا اور ویگنر کے میوزیکل ڈراموں کے لیے صوتی طور پر ڈیزائن کیا گیا تھا، پوری دنیا سے اوپیرا کے شائقین کو Bayreuth فیسٹیول کی طرف راغب کرتا ہے۔</v>
      </c>
    </row>
    <row r="46" ht="15.75" customHeight="1">
      <c r="A46" s="1">
        <v>45.0</v>
      </c>
      <c r="B46" s="1" t="s">
        <v>137</v>
      </c>
      <c r="C46" s="1" t="s">
        <v>138</v>
      </c>
      <c r="D46" s="1">
        <v>497631.0</v>
      </c>
      <c r="E46" s="1">
        <v>114062.0</v>
      </c>
      <c r="F46" s="1" t="s">
        <v>139</v>
      </c>
      <c r="G46" s="1" t="str">
        <f>IFERROR(__xludf.DUMMYFUNCTION("GOOGLETRANSLATE(F46, ""de"", ""ur"")"),"سٹالیکٹائٹ غاروں اور قلعے کے کھنڈرات کے ساتھ ناہموار کارسٹ لینڈ سکیپ 19ویں صدی سے پیدل سفر اور چڑھنے کا ایک مشہور علاقہ رہا ہے۔")</f>
        <v>سٹالیکٹائٹ غاروں اور قلعے کے کھنڈرات کے ساتھ ناہموار کارسٹ لینڈ سکیپ 19ویں صدی سے پیدل سفر اور چڑھنے کا ایک مشہور علاقہ رہا ہے۔</v>
      </c>
    </row>
    <row r="47" ht="15.75" customHeight="1">
      <c r="A47" s="1">
        <v>46.0</v>
      </c>
      <c r="B47" s="1" t="s">
        <v>140</v>
      </c>
      <c r="C47" s="1" t="s">
        <v>141</v>
      </c>
      <c r="D47" s="1">
        <v>498917.0</v>
      </c>
      <c r="E47" s="1">
        <v>108852.0</v>
      </c>
      <c r="F47" s="1" t="s">
        <v>142</v>
      </c>
      <c r="G47" s="1" t="str">
        <f>IFERROR(__xludf.DUMMYFUNCTION("GOOGLETRANSLATE(F47, ""de"", ""ur"")"),"بامبرگ کا سات پہاڑیوں والا پرانا شہر جس میں رومنسک کیتھیڈرل اور ریگنیٹز میں ٹاؤن ہال ہے جرمنی کا سب سے بڑا غیر تباہ شدہ تاریخی شہر تصور کیا جاتا ہے۔")</f>
        <v>بامبرگ کا سات پہاڑیوں والا پرانا شہر جس میں رومنسک کیتھیڈرل اور ریگنیٹز میں ٹاؤن ہال ہے جرمنی کا سب سے بڑا غیر تباہ شدہ تاریخی شہر تصور کیا جاتا ہے۔</v>
      </c>
    </row>
    <row r="48" ht="15.75" customHeight="1">
      <c r="A48" s="1">
        <v>47.0</v>
      </c>
      <c r="B48" s="1" t="s">
        <v>143</v>
      </c>
      <c r="C48" s="1" t="s">
        <v>144</v>
      </c>
      <c r="D48" s="1">
        <v>494542.0</v>
      </c>
      <c r="E48" s="1">
        <v>110773.0</v>
      </c>
      <c r="F48" s="1" t="s">
        <v>145</v>
      </c>
      <c r="G48" s="1" t="str">
        <f>IFERROR(__xludf.DUMMYFUNCTION("GOOGLETRANSLATE(F48, ""de"", ""ur"")"),"Nuremberg Christkindlesmarkt، جو 16ویں صدی سے زیر استعمال ہے، جنجربریڈ اور لکڑی کے کھلونوں کے ساتھ ہر سال 20 لاکھ زائرین کو راغب کرتا ہے۔")</f>
        <v>Nuremberg Christkindlesmarkt، جو 16ویں صدی سے زیر استعمال ہے، جنجربریڈ اور لکڑی کے کھلونوں کے ساتھ ہر سال 20 لاکھ زائرین کو راغب کرتا ہے۔</v>
      </c>
    </row>
    <row r="49" ht="15.75" customHeight="1">
      <c r="A49" s="1">
        <v>48.0</v>
      </c>
      <c r="B49" s="1" t="s">
        <v>146</v>
      </c>
      <c r="C49" s="1" t="s">
        <v>147</v>
      </c>
      <c r="D49" s="1">
        <v>494528.0</v>
      </c>
      <c r="E49" s="1">
        <v>11078.0</v>
      </c>
      <c r="F49" s="1" t="s">
        <v>148</v>
      </c>
      <c r="G49" s="1" t="str">
        <f>IFERROR(__xludf.DUMMYFUNCTION("GOOGLETRANSLATE(F49, ""de"", ""ur"")"),"کمرہ 600 میں میموریم نیورمبرگ ٹرائلز نازی جرائم کی قانونی تحقیقات اور بین الاقوامی فوجداری قانون کی پیدائش کی یاد مناتے ہیں۔")</f>
        <v>کمرہ 600 میں میموریم نیورمبرگ ٹرائلز نازی جرائم کی قانونی تحقیقات اور بین الاقوامی فوجداری قانون کی پیدائش کی یاد مناتے ہیں۔</v>
      </c>
    </row>
    <row r="50" ht="15.75" customHeight="1">
      <c r="A50" s="1">
        <v>49.0</v>
      </c>
      <c r="B50" s="1" t="s">
        <v>149</v>
      </c>
      <c r="C50" s="1" t="s">
        <v>150</v>
      </c>
      <c r="D50" s="1">
        <v>48765.0</v>
      </c>
      <c r="E50" s="1">
        <v>114257.0</v>
      </c>
      <c r="F50" s="1" t="s">
        <v>151</v>
      </c>
      <c r="G50" s="1" t="str">
        <f>IFERROR(__xludf.DUMMYFUNCTION("GOOGLETRANSLATE(F50, ""de"", ""ur"")"),"1516 میں، Bavarian ڈیوکس نے Ingolstadt میں Purity Law کا اعلان کیا: بیئر صرف پانی، جو اور ہاپس پر مشتمل ہو سکتا ہے - دنیا کا قدیم ترین فوڈ ریگولیشن۔")</f>
        <v>1516 میں، Bavarian ڈیوکس نے Ingolstadt میں Purity Law کا اعلان کیا: بیئر صرف پانی، جو اور ہاپس پر مشتمل ہو سکتا ہے - دنیا کا قدیم ترین فوڈ ریگولیشن۔</v>
      </c>
    </row>
    <row r="51" ht="15.75" customHeight="1">
      <c r="A51" s="1">
        <v>50.0</v>
      </c>
      <c r="B51" s="1" t="s">
        <v>152</v>
      </c>
      <c r="C51" s="1" t="s">
        <v>153</v>
      </c>
      <c r="D51" s="1">
        <v>482188.0</v>
      </c>
      <c r="E51" s="1">
        <v>116247.0</v>
      </c>
      <c r="F51" s="1" t="s">
        <v>154</v>
      </c>
      <c r="G51" s="1" t="str">
        <f>IFERROR(__xludf.DUMMYFUNCTION("GOOGLETRANSLATE(F51, ""de"", ""ur"")"),"ایلیانز ایرینا، جو 2005 میں ایک پارباسی بیرونی خول کے ساتھ کھولا گیا تھا، FC Bayern کا گھر ہے اور یورپ کے سب سے زیادہ متاثر کن اسٹیڈیموں میں سے ایک ہے۔")</f>
        <v>ایلیانز ایرینا، جو 2005 میں ایک پارباسی بیرونی خول کے ساتھ کھولا گیا تھا، FC Bayern کا گھر ہے اور یورپ کے سب سے زیادہ متاثر کن اسٹیڈیموں میں سے ایک ہے۔</v>
      </c>
    </row>
    <row r="52" ht="15.75" customHeight="1">
      <c r="A52" s="1">
        <v>51.0</v>
      </c>
      <c r="B52" s="1" t="s">
        <v>155</v>
      </c>
      <c r="C52" s="1" t="s">
        <v>156</v>
      </c>
      <c r="D52" s="1">
        <v>48174.0</v>
      </c>
      <c r="E52" s="1">
        <v>11546.0</v>
      </c>
      <c r="F52" s="1" t="s">
        <v>157</v>
      </c>
      <c r="G52" s="1" t="str">
        <f>IFERROR(__xludf.DUMMYFUNCTION("GOOGLETRANSLATE(F52, ""de"", ""ur"")"),"1972 کے کھیلوں نے اپنے خیمے کی چھت کے فن تعمیر کے ساتھ نئے معیار قائم کیے؛ اسرائیلی ٹیم پر حملے نے جدید علاقے کی یاد کو شکل دی۔")</f>
        <v>1972 کے کھیلوں نے اپنے خیمے کی چھت کے فن تعمیر کے ساتھ نئے معیار قائم کیے؛ اسرائیلی ٹیم پر حملے نے جدید علاقے کی یاد کو شکل دی۔</v>
      </c>
    </row>
    <row r="53" ht="15.75" customHeight="1">
      <c r="A53" s="1">
        <v>52.0</v>
      </c>
      <c r="B53" s="1" t="s">
        <v>158</v>
      </c>
      <c r="C53" s="1" t="s">
        <v>159</v>
      </c>
      <c r="D53" s="1">
        <v>4815.0</v>
      </c>
      <c r="E53" s="1">
        <v>1158.0</v>
      </c>
      <c r="F53" s="1" t="s">
        <v>160</v>
      </c>
      <c r="G53" s="1" t="str">
        <f>IFERROR(__xludf.DUMMYFUNCTION("GOOGLETRANSLATE(F53, ""de"", ""ur"")"),"سوفی سکول نے 1943 میں LMU میں ""سفید گلاب"" کے کتابچے تقسیم کیے تھے۔ آج، یادگاری تختیاں ہمیں نازی حکومت کے خلاف ان کی دلیرانہ مزاحمت کی یاد دلاتی ہیں۔")</f>
        <v>سوفی سکول نے 1943 میں LMU میں "سفید گلاب" کے کتابچے تقسیم کیے تھے۔ آج، یادگاری تختیاں ہمیں نازی حکومت کے خلاف ان کی دلیرانہ مزاحمت کی یاد دلاتی ہیں۔</v>
      </c>
    </row>
    <row r="54" ht="15.75" customHeight="1">
      <c r="A54" s="1">
        <v>53.0</v>
      </c>
      <c r="B54" s="1" t="s">
        <v>161</v>
      </c>
      <c r="C54" s="1" t="s">
        <v>162</v>
      </c>
      <c r="D54" s="1">
        <v>481312.0</v>
      </c>
      <c r="E54" s="1">
        <v>115497.0</v>
      </c>
      <c r="F54" s="1" t="s">
        <v>163</v>
      </c>
      <c r="G54" s="1" t="str">
        <f>IFERROR(__xludf.DUMMYFUNCTION("GOOGLETRANSLATE(F54, ""de"", ""ur"")"),"میونخ 1810 سے Oktoberfest منا رہا ہے۔ بیئر کے بڑے خیمے، سواریاں اور روایتی ملبوسات ہر سال لاکھوں زائرین کو اپنی طرف متوجہ کرتے ہیں۔")</f>
        <v>میونخ 1810 سے Oktoberfest منا رہا ہے۔ بیئر کے بڑے خیمے، سواریاں اور روایتی ملبوسات ہر سال لاکھوں زائرین کو اپنی طرف متوجہ کرتے ہیں۔</v>
      </c>
    </row>
    <row r="55" ht="15.75" customHeight="1">
      <c r="A55" s="1">
        <v>54.0</v>
      </c>
      <c r="B55" s="1" t="s">
        <v>164</v>
      </c>
      <c r="C55" s="1" t="s">
        <v>165</v>
      </c>
      <c r="D55" s="1">
        <v>475576.0</v>
      </c>
      <c r="E55" s="1">
        <v>107498.0</v>
      </c>
      <c r="F55" s="1" t="s">
        <v>166</v>
      </c>
      <c r="G55" s="1" t="str">
        <f>IFERROR(__xludf.DUMMYFUNCTION("GOOGLETRANSLATE(F55, ""de"", ""ur"")"),"کنگ لڈوِگ کا پریوں کی کہانی کا قلعہ (1869 سے) ایک الپائن ماحول میں رومانوی تاریخییت کو مجسم کرتا ہے اور ڈزنی قلعے کے نمونے کے طور پر کام کرتا ہے۔")</f>
        <v>کنگ لڈوِگ کا پریوں کی کہانی کا قلعہ (1869 سے) ایک الپائن ماحول میں رومانوی تاریخییت کو مجسم کرتا ہے اور ڈزنی قلعے کے نمونے کے طور پر کام کرتا ہے۔</v>
      </c>
    </row>
    <row r="56" ht="15.75" customHeight="1">
      <c r="A56" s="1">
        <v>55.0</v>
      </c>
      <c r="B56" s="1" t="s">
        <v>167</v>
      </c>
      <c r="C56" s="1" t="s">
        <v>168</v>
      </c>
      <c r="D56" s="1">
        <v>476514.0</v>
      </c>
      <c r="E56" s="1">
        <v>9478.0</v>
      </c>
      <c r="F56" s="1" t="s">
        <v>169</v>
      </c>
      <c r="G56" s="1" t="str">
        <f>IFERROR(__xludf.DUMMYFUNCTION("GOOGLETRANSLATE(F56, ""de"", ""ur"")"),"دنیا کی پہلی زپیلین نے 1900 میں یہاں سے اڑان بھری۔ میوزیم میں ہوائی جہاز کے دور کی نمائشیں ہیں، جس میں ""ہنڈنبرگ"" کا ایک حصہ بھی شامل ہے۔")</f>
        <v>دنیا کی پہلی زپیلین نے 1900 میں یہاں سے اڑان بھری۔ میوزیم میں ہوائی جہاز کے دور کی نمائشیں ہیں، جس میں "ہنڈنبرگ" کا ایک حصہ بھی شامل ہے۔</v>
      </c>
    </row>
    <row r="57" ht="15.75" customHeight="1">
      <c r="A57" s="1">
        <v>56.0</v>
      </c>
      <c r="B57" s="1" t="s">
        <v>170</v>
      </c>
      <c r="C57" s="1" t="s">
        <v>171</v>
      </c>
      <c r="D57" s="1">
        <v>484011.0</v>
      </c>
      <c r="E57" s="1">
        <v>99876.0</v>
      </c>
      <c r="F57" s="1" t="s">
        <v>172</v>
      </c>
      <c r="G57" s="1" t="str">
        <f>IFERROR(__xludf.DUMMYFUNCTION("GOOGLETRANSLATE(F57, ""de"", ""ur"")"),"البرٹ آئن سٹائن، 1879 میں Ulm میں پیدا ہوئے، نے طبیعیات میں اضافیت اور کوانٹم تھیوری سے انقلاب برپا کیا۔ چشمہ باصلاحیت کی یاد دلاتا ہے۔")</f>
        <v>البرٹ آئن سٹائن، 1879 میں Ulm میں پیدا ہوئے، نے طبیعیات میں اضافیت اور کوانٹم تھیوری سے انقلاب برپا کیا۔ چشمہ باصلاحیت کی یاد دلاتا ہے۔</v>
      </c>
    </row>
    <row r="58" ht="15.75" customHeight="1">
      <c r="A58" s="1">
        <v>57.0</v>
      </c>
      <c r="B58" s="1" t="s">
        <v>173</v>
      </c>
      <c r="C58" s="1" t="s">
        <v>174</v>
      </c>
      <c r="D58" s="1">
        <v>487904.0</v>
      </c>
      <c r="E58" s="1">
        <v>92183.0</v>
      </c>
      <c r="F58" s="1" t="s">
        <v>175</v>
      </c>
      <c r="G58" s="1" t="str">
        <f>IFERROR(__xludf.DUMMYFUNCTION("GOOGLETRANSLATE(F58, ""de"", ""ur"")"),"Cannstatter Volksfest (1818 سے) Oktoberfest کے بعد دوسرا بڑا جرمن بیئر اور لوک میلہ ہے اور ہر سال تقریباً 40 لاکھ مہمانوں کو اپنی طرف متوجہ کرتا ہے۔")</f>
        <v>Cannstatter Volksfest (1818 سے) Oktoberfest کے بعد دوسرا بڑا جرمن بیئر اور لوک میلہ ہے اور ہر سال تقریباً 40 لاکھ مہمانوں کو اپنی طرف متوجہ کرتا ہے۔</v>
      </c>
    </row>
    <row r="59" ht="15.75" customHeight="1">
      <c r="A59" s="1">
        <v>58.0</v>
      </c>
      <c r="B59" s="1" t="s">
        <v>176</v>
      </c>
      <c r="C59" s="1" t="s">
        <v>176</v>
      </c>
      <c r="D59" s="1">
        <v>494106.0</v>
      </c>
      <c r="E59" s="1">
        <v>87151.0</v>
      </c>
      <c r="F59" s="1" t="s">
        <v>177</v>
      </c>
      <c r="G59" s="1" t="str">
        <f>IFERROR(__xludf.DUMMYFUNCTION("GOOGLETRANSLATE(F59, ""de"", ""ur"")"),"نیکر کے اوپر رومانوی قلعے کے کھنڈرات انتخاب کرنے والوں کی رہائش گاہ تھے۔ اس کے نشاۃ ثانیہ کے پہلوؤں اور عظیم بیرل نے پہلے ہی گوئٹے کو متاثر کیا تھا۔")</f>
        <v>نیکر کے اوپر رومانوی قلعے کے کھنڈرات انتخاب کرنے والوں کی رہائش گاہ تھے۔ اس کے نشاۃ ثانیہ کے پہلوؤں اور عظیم بیرل نے پہلے ہی گوئٹے کو متاثر کیا تھا۔</v>
      </c>
    </row>
    <row r="60" ht="15.75" customHeight="1">
      <c r="A60" s="1">
        <v>59.0</v>
      </c>
      <c r="B60" s="1" t="s">
        <v>178</v>
      </c>
      <c r="C60" s="1" t="s">
        <v>179</v>
      </c>
      <c r="D60" s="1">
        <v>494875.0</v>
      </c>
      <c r="E60" s="1">
        <v>8466.0</v>
      </c>
      <c r="F60" s="1" t="s">
        <v>180</v>
      </c>
      <c r="G60" s="1" t="str">
        <f>IFERROR(__xludf.DUMMYFUNCTION("GOOGLETRANSLATE(F60, ""de"", ""ur"")"),"کارل بینز نے مین ہائیم میں 1885/86 میں پہلی عملی موٹر کار بنائی۔ برتھا بینز کے پہلے طویل مسافت کے سفر نے روزمرہ کے استعمال کے لیے موزوں ثابت کیا۔")</f>
        <v>کارل بینز نے مین ہائیم میں 1885/86 میں پہلی عملی موٹر کار بنائی۔ برتھا بینز کے پہلے طویل مسافت کے سفر نے روزمرہ کے استعمال کے لیے موزوں ثابت کیا۔</v>
      </c>
    </row>
    <row r="61" ht="15.75" customHeight="1">
      <c r="A61" s="1">
        <v>60.0</v>
      </c>
      <c r="B61" s="1" t="s">
        <v>181</v>
      </c>
      <c r="C61" s="1" t="s">
        <v>182</v>
      </c>
      <c r="D61" s="1">
        <v>497913.0</v>
      </c>
      <c r="E61" s="1">
        <v>99534.0</v>
      </c>
      <c r="F61" s="1" t="s">
        <v>183</v>
      </c>
      <c r="G61" s="1" t="str">
        <f>IFERROR(__xludf.DUMMYFUNCTION("GOOGLETRANSLATE(F61, ""de"", ""ur"")"),"Würzburg Residence (1720–1744) اپنے Tiepolo fresco اور Hall of Mirrs کے ساتھ جنوبی جرمن Baroque کا ایک بڑا کام سمجھا جاتا ہے اور یہ یونیسکو کا عالمی ثقافتی ورثہ ہے۔")</f>
        <v>Würzburg Residence (1720–1744) اپنے Tiepolo fresco اور Hall of Mirrs کے ساتھ جنوبی جرمن Baroque کا ایک بڑا کام سمجھا جاتا ہے اور یہ یونیسکو کا عالمی ثقافتی ورثہ ہے۔</v>
      </c>
    </row>
    <row r="62" ht="15.75" customHeight="1">
      <c r="A62" s="1">
        <v>61.0</v>
      </c>
      <c r="B62" s="1" t="s">
        <v>184</v>
      </c>
      <c r="C62" s="1" t="s">
        <v>185</v>
      </c>
      <c r="D62" s="1">
        <v>481275.0</v>
      </c>
      <c r="E62" s="1">
        <v>82364.0</v>
      </c>
      <c r="F62" s="1" t="s">
        <v>186</v>
      </c>
      <c r="G62" s="1" t="str">
        <f>IFERROR(__xludf.DUMMYFUNCTION("GOOGLETRANSLATE(F62, ""de"", ""ur"")"),"کرسچ کے ساتھ کریم-چاکلیٹ-چیری کیک بلیک فاریسٹ میں بنایا گیا تھا۔ کیفے شیفر ایک تاریخی نسخہ کے مطابق ان کی خدمت کرتا ہے۔")</f>
        <v>کرسچ کے ساتھ کریم-چاکلیٹ-چیری کیک بلیک فاریسٹ میں بنایا گیا تھا۔ کیفے شیفر ایک تاریخی نسخہ کے مطابق ان کی خدمت کرتا ہے۔</v>
      </c>
    </row>
    <row r="63" ht="15.75" customHeight="1">
      <c r="A63" s="1">
        <v>62.0</v>
      </c>
      <c r="B63" s="1" t="s">
        <v>187</v>
      </c>
      <c r="C63" s="1" t="s">
        <v>188</v>
      </c>
      <c r="D63" s="1">
        <v>507753.0</v>
      </c>
      <c r="E63" s="1">
        <v>60839.0</v>
      </c>
      <c r="F63" s="1" t="s">
        <v>189</v>
      </c>
      <c r="G63" s="1" t="str">
        <f>IFERROR(__xludf.DUMMYFUNCTION("GOOGLETRANSLATE(F63, ""de"", ""ur"")"),"کارل کا پیلاٹینیٹ چیپل (8ویں/9ویں صدی) اور گوتھک کوئر جرمنی کا پہلا یونیسکو عالمی ثقافتی ورثہ ہے۔ یہاں 30 سے ​​زائد جرمن بادشاہوں کی تاج پوشی کی گئی۔")</f>
        <v>کارل کا پیلاٹینیٹ چیپل (8ویں/9ویں صدی) اور گوتھک کوئر جرمنی کا پہلا یونیسکو عالمی ثقافتی ورثہ ہے۔ یہاں 30 سے ​​زائد جرمن بادشاہوں کی تاج پوشی کی گئی۔</v>
      </c>
    </row>
    <row r="64" ht="15.75" customHeight="1">
      <c r="A64" s="1">
        <v>63.0</v>
      </c>
      <c r="B64" s="1" t="s">
        <v>190</v>
      </c>
      <c r="C64" s="1" t="s">
        <v>191</v>
      </c>
      <c r="D64" s="1">
        <v>50776.0</v>
      </c>
      <c r="E64" s="1">
        <v>60839.0</v>
      </c>
      <c r="F64" s="1" t="s">
        <v>192</v>
      </c>
      <c r="G64" s="1" t="str">
        <f>IFERROR(__xludf.DUMMYFUNCTION("GOOGLETRANSLATE(F64, ""de"", ""ur"")"),"آچن کیتھیڈرل ٹریژر شارلیمین شرائن اور میری شرائن کے ساتھ یورپ میں چرچ کے اہم ترین خزانوں میں سے ایک ہے اور عالمی ثقافتی ورثہ کیتھیڈرل کی تکمیل کرتا ہے۔")</f>
        <v>آچن کیتھیڈرل ٹریژر شارلیمین شرائن اور میری شرائن کے ساتھ یورپ میں چرچ کے اہم ترین خزانوں میں سے ایک ہے اور عالمی ثقافتی ورثہ کیتھیڈرل کی تکمیل کرتا ہے۔</v>
      </c>
    </row>
    <row r="65" ht="15.75" customHeight="1">
      <c r="A65" s="1">
        <v>64.0</v>
      </c>
      <c r="B65" s="1" t="s">
        <v>193</v>
      </c>
      <c r="C65" s="1" t="s">
        <v>194</v>
      </c>
      <c r="D65" s="1">
        <v>515281.0</v>
      </c>
      <c r="E65" s="1">
        <v>115487.0</v>
      </c>
      <c r="F65" s="1" t="s">
        <v>195</v>
      </c>
      <c r="G65" s="1" t="str">
        <f>IFERROR(__xludf.DUMMYFUNCTION("GOOGLETRANSLATE(F65, ""de"", ""ur"")"),"آئزلیبین میں لوتھر کی پیدائش اور موت کے گھر یونیسکو کے عالمی ثقافتی ورثے کی جگہ ہیں اور مصلح کی زندگی اور اثرات کو دستاویزی شکل دیتے ہیں۔")</f>
        <v>آئزلیبین میں لوتھر کی پیدائش اور موت کے گھر یونیسکو کے عالمی ثقافتی ورثے کی جگہ ہیں اور مصلح کی زندگی اور اثرات کو دستاویزی شکل دیتے ہیں۔</v>
      </c>
    </row>
    <row r="66" ht="15.75" customHeight="1">
      <c r="A66" s="1">
        <v>65.0</v>
      </c>
      <c r="B66" s="1" t="s">
        <v>196</v>
      </c>
      <c r="C66" s="1" t="s">
        <v>197</v>
      </c>
      <c r="D66" s="1">
        <v>518349.0</v>
      </c>
      <c r="E66" s="1">
        <v>122424.0</v>
      </c>
      <c r="F66" s="1" t="s">
        <v>198</v>
      </c>
      <c r="G66" s="1" t="str">
        <f>IFERROR(__xludf.DUMMYFUNCTION("GOOGLETRANSLATE(F66, ""de"", ""ur"")"),"کینڈنسکی جیسے بوہاؤس کے اساتذہ کے لیے گروپیئس کے ماسٹر ہاؤسز (1925/26) اس کی اصل حالت میں باہاؤس کے فنکشنل فن تعمیر کی نمائندگی کرتے ہیں۔")</f>
        <v>کینڈنسکی جیسے بوہاؤس کے اساتذہ کے لیے گروپیئس کے ماسٹر ہاؤسز (1925/26) اس کی اصل حالت میں باہاؤس کے فنکشنل فن تعمیر کی نمائندگی کرتے ہیں۔</v>
      </c>
    </row>
    <row r="67" ht="15.75" customHeight="1">
      <c r="A67" s="1">
        <v>66.0</v>
      </c>
      <c r="B67" s="1" t="s">
        <v>199</v>
      </c>
      <c r="C67" s="1" t="s">
        <v>200</v>
      </c>
      <c r="D67" s="1">
        <v>518367.0</v>
      </c>
      <c r="E67" s="1">
        <v>122428.0</v>
      </c>
      <c r="F67" s="1" t="s">
        <v>201</v>
      </c>
      <c r="G67" s="1" t="str">
        <f>IFERROR(__xludf.DUMMYFUNCTION("GOOGLETRANSLATE(F67, ""de"", ""ur"")"),"باہاؤس کی عمارت (1926) شیشے کے اگلے حصے کے ساتھ فن، کاریگری اور صنعت کے امتزاج کی نمائندگی کرتی ہے - جدیدیت کا سنگ میل۔")</f>
        <v>باہاؤس کی عمارت (1926) شیشے کے اگلے حصے کے ساتھ فن، کاریگری اور صنعت کے امتزاج کی نمائندگی کرتی ہے - جدیدیت کا سنگ میل۔</v>
      </c>
    </row>
    <row r="68" ht="15.75" customHeight="1">
      <c r="A68" s="1">
        <v>67.0</v>
      </c>
      <c r="B68" s="1" t="s">
        <v>202</v>
      </c>
      <c r="C68" s="1" t="s">
        <v>203</v>
      </c>
      <c r="D68" s="1">
        <v>518661.0</v>
      </c>
      <c r="E68" s="1">
        <v>126477.0</v>
      </c>
      <c r="F68" s="1" t="s">
        <v>204</v>
      </c>
      <c r="G68" s="1" t="str">
        <f>IFERROR(__xludf.DUMMYFUNCTION("GOOGLETRANSLATE(F68, ""de"", ""ur"")"),"کیسل چرچ میں 1517 سے لوتھر کے 95 مقالوں نے اصلاح کو متحرک کیا اور چرچ اور معاشرے کو دیرپا بدل دیا۔")</f>
        <v>کیسل چرچ میں 1517 سے لوتھر کے 95 مقالوں نے اصلاح کو متحرک کیا اور چرچ اور معاشرے کو دیرپا بدل دیا۔</v>
      </c>
    </row>
    <row r="69" ht="15.75" customHeight="1">
      <c r="A69" s="1">
        <v>68.0</v>
      </c>
      <c r="B69" s="1" t="s">
        <v>205</v>
      </c>
      <c r="C69" s="1" t="s">
        <v>206</v>
      </c>
      <c r="D69" s="1">
        <v>513393.0</v>
      </c>
      <c r="E69" s="1">
        <v>123747.0</v>
      </c>
      <c r="F69" s="1" t="s">
        <v>207</v>
      </c>
      <c r="G69" s="1" t="str">
        <f>IFERROR(__xludf.DUMMYFUNCTION("GOOGLETRANSLATE(F69, ""de"", ""ur"")"),"لیپزگ جاز کے دن (1976 سے) بین الاقوامی جاز کے عظیم لوگوں کو تاریخی مقامات جیسے کہ زیر زمین مورٹزبیسٹی تک لاتے ہیں۔")</f>
        <v>لیپزگ جاز کے دن (1976 سے) بین الاقوامی جاز کے عظیم لوگوں کو تاریخی مقامات جیسے کہ زیر زمین مورٹزبیسٹی تک لاتے ہیں۔</v>
      </c>
    </row>
    <row r="70" ht="15.75" customHeight="1">
      <c r="A70" s="1">
        <v>69.0</v>
      </c>
      <c r="B70" s="1" t="s">
        <v>208</v>
      </c>
      <c r="C70" s="1" t="s">
        <v>209</v>
      </c>
      <c r="D70" s="1">
        <v>513388.0</v>
      </c>
      <c r="E70" s="1">
        <v>123723.0</v>
      </c>
      <c r="F70" s="1" t="s">
        <v>210</v>
      </c>
      <c r="G70" s="1" t="str">
        <f>IFERROR(__xludf.DUMMYFUNCTION("GOOGLETRANSLATE(F70, ""de"", ""ur"")"),"باخ نے 1723 سے لیپزگ میں تھامسکنٹر کے طور پر کام کیا۔ میوزیم میں باروک موسیقار کے مسودات اور آلات دکھائے گئے ہیں۔")</f>
        <v>باخ نے 1723 سے لیپزگ میں تھامسکنٹر کے طور پر کام کیا۔ میوزیم میں باروک موسیقار کے مسودات اور آلات دکھائے گئے ہیں۔</v>
      </c>
    </row>
    <row r="71" ht="15.75" customHeight="1">
      <c r="A71" s="1">
        <v>70.0</v>
      </c>
      <c r="B71" s="1" t="s">
        <v>211</v>
      </c>
      <c r="C71" s="1" t="s">
        <v>212</v>
      </c>
      <c r="D71" s="1">
        <v>513128.0</v>
      </c>
      <c r="E71" s="1">
        <v>124134.0</v>
      </c>
      <c r="F71" s="1" t="s">
        <v>213</v>
      </c>
      <c r="G71" s="1" t="str">
        <f>IFERROR(__xludf.DUMMYFUNCTION("GOOGLETRANSLATE(F71, ""de"", ""ur"")"),"91 میٹر بلند بیٹل آف دی نیشنز مونومنٹ پہلی جنگ عظیم سے پہلے کی سب سے بڑی جنگ میں نپولین کی شکست کی یاد دلاتا ہے۔")</f>
        <v>91 میٹر بلند بیٹل آف دی نیشنز مونومنٹ پہلی جنگ عظیم سے پہلے کی سب سے بڑی جنگ میں نپولین کی شکست کی یاد دلاتا ہے۔</v>
      </c>
    </row>
    <row r="72" ht="15.75" customHeight="1">
      <c r="A72" s="1">
        <v>71.0</v>
      </c>
      <c r="B72" s="1" t="s">
        <v>214</v>
      </c>
      <c r="C72" s="1" t="s">
        <v>215</v>
      </c>
      <c r="D72" s="1">
        <v>511642.0</v>
      </c>
      <c r="E72" s="1">
        <v>134827.0</v>
      </c>
      <c r="F72" s="1" t="s">
        <v>216</v>
      </c>
      <c r="G72" s="1" t="str">
        <f>IFERROR(__xludf.DUMMYFUNCTION("GOOGLETRANSLATE(F72, ""de"", ""ur"")"),"پہلا یورپی سخت چینی مٹی کے برتن 1710 میں Meißen میں بنایا گیا تھا۔ میوزیم میں تلواروں کے ساتھ شاہکار دکھائے گئے ہیں۔")</f>
        <v>پہلا یورپی سخت چینی مٹی کے برتن 1710 میں Meißen میں بنایا گیا تھا۔ میوزیم میں تلواروں کے ساتھ شاہکار دکھائے گئے ہیں۔</v>
      </c>
    </row>
    <row r="73" ht="15.75" customHeight="1">
      <c r="A73" s="1">
        <v>72.0</v>
      </c>
      <c r="B73" s="1" t="s">
        <v>217</v>
      </c>
      <c r="C73" s="1" t="s">
        <v>218</v>
      </c>
      <c r="D73" s="1">
        <v>523948.0</v>
      </c>
      <c r="E73" s="1">
        <v>130644.0</v>
      </c>
      <c r="F73" s="1" t="s">
        <v>219</v>
      </c>
      <c r="G73" s="1" t="str">
        <f>IFERROR(__xludf.DUMMYFUNCTION("GOOGLETRANSLATE(F73, ""de"", ""ur"")"),"ٹیکنالوجی میوزیم چھت پر انجن، بحری جہاز اور ایک ""کشمش بمبار"" پیش کرتا ہے - ٹیکنالوجی کی تاریخ کے حوالے سے۔")</f>
        <v>ٹیکنالوجی میوزیم چھت پر انجن، بحری جہاز اور ایک "کشمش بمبار" پیش کرتا ہے - ٹیکنالوجی کی تاریخ کے حوالے سے۔</v>
      </c>
    </row>
    <row r="74" ht="15.75" customHeight="1">
      <c r="A74" s="1">
        <v>73.0</v>
      </c>
      <c r="B74" s="1" t="s">
        <v>220</v>
      </c>
      <c r="C74" s="1" t="s">
        <v>221</v>
      </c>
      <c r="D74" s="1">
        <v>523969.0</v>
      </c>
      <c r="E74" s="1">
        <v>130586.0</v>
      </c>
      <c r="F74" s="1" t="s">
        <v>222</v>
      </c>
      <c r="G74" s="1" t="str">
        <f>IFERROR(__xludf.DUMMYFUNCTION("GOOGLETRANSLATE(F74, ""de"", ""ur"")"),"فریڈرک دی گریٹ نے سانسوکی (1747) کو انگور کے باغ کی چھتوں پر روکوکو کے موسم گرما کی رہائش گاہ کے طور پر بنایا تھا۔ پارک اور قلعے یونیسکو کے عالمی ثقافتی ورثے کی جگہیں ہیں۔")</f>
        <v>فریڈرک دی گریٹ نے سانسوکی (1747) کو انگور کے باغ کی چھتوں پر روکوکو کے موسم گرما کی رہائش گاہ کے طور پر بنایا تھا۔ پارک اور قلعے یونیسکو کے عالمی ثقافتی ورثے کی جگہیں ہیں۔</v>
      </c>
    </row>
    <row r="75" ht="15.75" customHeight="1">
      <c r="A75" s="1">
        <v>74.0</v>
      </c>
      <c r="B75" s="1" t="s">
        <v>223</v>
      </c>
      <c r="C75" s="1" t="s">
        <v>224</v>
      </c>
      <c r="D75" s="1">
        <v>524039.0</v>
      </c>
      <c r="E75" s="1">
        <v>130682.0</v>
      </c>
      <c r="F75" s="1" t="s">
        <v>225</v>
      </c>
      <c r="G75" s="1" t="str">
        <f>IFERROR(__xludf.DUMMYFUNCTION("GOOGLETRANSLATE(F75, ""de"", ""ur"")"),"بابلزبرگ اسٹوڈیوز (1912 سے) جرمن فلم کا گہوارہ ہے۔ فلم پارک سیٹ، سٹنٹ اور چال کی تکنیکوں کے بارے میں بصیرت فراہم کرتا ہے۔")</f>
        <v>بابلزبرگ اسٹوڈیوز (1912 سے) جرمن فلم کا گہوارہ ہے۔ فلم پارک سیٹ، سٹنٹ اور چال کی تکنیکوں کے بارے میں بصیرت فراہم کرتا ہے۔</v>
      </c>
    </row>
    <row r="76" ht="15.75" customHeight="1">
      <c r="A76" s="1">
        <v>75.0</v>
      </c>
      <c r="B76" s="1" t="s">
        <v>226</v>
      </c>
      <c r="C76" s="1" t="s">
        <v>227</v>
      </c>
      <c r="D76" s="1">
        <v>524731.0</v>
      </c>
      <c r="E76" s="1">
        <v>13403.0</v>
      </c>
      <c r="F76" s="1" t="s">
        <v>228</v>
      </c>
      <c r="G76" s="1" t="str">
        <f>IFERROR(__xludf.DUMMYFUNCTION("GOOGLETRANSLATE(F76, ""de"", ""ur"")"),"1948/49 میں، کشمش کے بمباروں نے شہر کے مسدود مغربی حصے کو ٹیمپل ہاف ہوائی اڈے کے ذریعے فراہم کیا جو کہ مغربی یکجہتی کی علامت ہے۔")</f>
        <v>1948/49 میں، کشمش کے بمباروں نے شہر کے مسدود مغربی حصے کو ٹیمپل ہاف ہوائی اڈے کے ذریعے فراہم کیا جو کہ مغربی یکجہتی کی علامت ہے۔</v>
      </c>
    </row>
    <row r="77" ht="15.75" customHeight="1">
      <c r="A77" s="1">
        <v>76.0</v>
      </c>
      <c r="B77" s="1" t="s">
        <v>229</v>
      </c>
      <c r="C77" s="1" t="s">
        <v>230</v>
      </c>
      <c r="D77" s="1">
        <v>525076.0</v>
      </c>
      <c r="E77" s="1">
        <v>133904.0</v>
      </c>
      <c r="F77" s="1" t="s">
        <v>231</v>
      </c>
      <c r="G77" s="1" t="str">
        <f>IFERROR(__xludf.DUMMYFUNCTION("GOOGLETRANSLATE(F77, ""de"", ""ur"")"),"سب سے مشہور برلن بارڈر کراسنگ اکتوبر 1961 میں USA اور USSR کے درمیان دھماکہ خیز ٹینکوں کے تصادم کا منظر تھا۔")</f>
        <v>سب سے مشہور برلن بارڈر کراسنگ اکتوبر 1961 میں USA اور USSR کے درمیان دھماکہ خیز ٹینکوں کے تصادم کا منظر تھا۔</v>
      </c>
    </row>
    <row r="78" ht="15.75" customHeight="1">
      <c r="A78" s="1">
        <v>77.0</v>
      </c>
      <c r="B78" s="1" t="s">
        <v>232</v>
      </c>
      <c r="C78" s="1" t="s">
        <v>233</v>
      </c>
      <c r="D78" s="1">
        <v>525163.0</v>
      </c>
      <c r="E78" s="1">
        <v>133777.0</v>
      </c>
      <c r="F78" s="1" t="s">
        <v>234</v>
      </c>
      <c r="G78" s="1" t="str">
        <f>IFERROR(__xludf.DUMMYFUNCTION("GOOGLETRANSLATE(F78, ""de"", ""ur"")"),"کلاسیکی گیٹ (1791) 1989 تک دیوار پر کھڑا رہا اور اس کے زوال کے بعد جرمن اتحاد کی علامت بن گیا۔")</f>
        <v>کلاسیکی گیٹ (1791) 1989 تک دیوار پر کھڑا رہا اور اس کے زوال کے بعد جرمن اتحاد کی علامت بن گیا۔</v>
      </c>
    </row>
    <row r="79" ht="15.75" customHeight="1">
      <c r="A79" s="1">
        <v>78.0</v>
      </c>
      <c r="B79" s="1" t="s">
        <v>235</v>
      </c>
      <c r="C79" s="1" t="s">
        <v>236</v>
      </c>
      <c r="D79" s="1">
        <v>525114.0</v>
      </c>
      <c r="E79" s="1">
        <v>13439.0</v>
      </c>
      <c r="F79" s="1" t="s">
        <v>237</v>
      </c>
      <c r="G79" s="1" t="str">
        <f>IFERROR(__xludf.DUMMYFUNCTION("GOOGLETRANSLATE(F79, ""de"", ""ur"")"),"ایک سابق پاور پلانٹ میں برگھین کلب کو ایک ٹیکنو میکا سمجھا جاتا ہے: غیر سمجھوتہ کرنے والی دروازے کی پالیسی اور فرسٹ کلاس آواز فرقے کی حیثیت پیدا کرتی ہے۔")</f>
        <v>ایک سابق پاور پلانٹ میں برگھین کلب کو ایک ٹیکنو میکا سمجھا جاتا ہے: غیر سمجھوتہ کرنے والی دروازے کی پالیسی اور فرسٹ کلاس آواز فرقے کی حیثیت پیدا کرتی ہے۔</v>
      </c>
    </row>
    <row r="80" ht="15.75" customHeight="1">
      <c r="A80" s="1">
        <v>79.0</v>
      </c>
      <c r="B80" s="1" t="s">
        <v>238</v>
      </c>
      <c r="C80" s="1" t="s">
        <v>239</v>
      </c>
      <c r="D80" s="1">
        <v>525045.0</v>
      </c>
      <c r="E80" s="1">
        <v>134408.0</v>
      </c>
      <c r="F80" s="1" t="s">
        <v>240</v>
      </c>
      <c r="G80" s="1" t="str">
        <f>IFERROR(__xludf.DUMMYFUNCTION("GOOGLETRANSLATE(F80, ""de"", ""ur"")"),"پینٹ شدہ 1.3 کلومیٹر دیوار کے باقیات 100 سے زیادہ دیواروں کو دکھاتے ہیں جو 1989 کے پرامن انقلاب کے بارے میں خوشی کا اظہار کرتے ہیں۔")</f>
        <v>پینٹ شدہ 1.3 کلومیٹر دیوار کے باقیات 100 سے زیادہ دیواروں کو دکھاتے ہیں جو 1989 کے پرامن انقلاب کے بارے میں خوشی کا اظہار کرتے ہیں۔</v>
      </c>
    </row>
    <row r="81" ht="15.75" customHeight="1">
      <c r="A81" s="1">
        <v>80.0</v>
      </c>
      <c r="B81" s="1" t="s">
        <v>241</v>
      </c>
      <c r="C81" s="1" t="s">
        <v>242</v>
      </c>
      <c r="D81" s="1">
        <v>53125.0</v>
      </c>
      <c r="E81" s="1">
        <v>13093.0</v>
      </c>
      <c r="F81" s="1" t="s">
        <v>243</v>
      </c>
      <c r="G81" s="1" t="str">
        <f>IFERROR(__xludf.DUMMYFUNCTION("GOOGLETRANSLATE(F81, ""de"", ""ur"")"),"Fürstenberg Castle جھیلوں اور جنگلات سے مالا مال شمالی برانڈنبرگ کے ایک پارک کے منظر نامے میں واقع ہے اور قدرتی ماحول میں اشرافیہ کی ثقافت کی عکاسی کرتا ہے۔")</f>
        <v>Fürstenberg Castle جھیلوں اور جنگلات سے مالا مال شمالی برانڈنبرگ کے ایک پارک کے منظر نامے میں واقع ہے اور قدرتی ماحول میں اشرافیہ کی ثقافت کی عکاسی کرتا ہے۔</v>
      </c>
    </row>
    <row r="82" ht="15.75" customHeight="1">
      <c r="A82" s="1">
        <v>81.0</v>
      </c>
      <c r="B82" s="1" t="s">
        <v>244</v>
      </c>
      <c r="C82" s="1" t="s">
        <v>245</v>
      </c>
      <c r="D82" s="1">
        <v>530913.0</v>
      </c>
      <c r="E82" s="1">
        <v>129084.0</v>
      </c>
      <c r="F82" s="1" t="s">
        <v>246</v>
      </c>
      <c r="G82" s="1" t="str">
        <f>IFERROR(__xludf.DUMMYFUNCTION("GOOGLETRANSLATE(F82, ""de"", ""ur"")"),"گرینیرکسی پر رائنزبرگ کیسل، جو کبھی فریڈرک دی گریٹ کی رہائش گاہ تھا، روپینر لینڈ کی خوبصورت جھیلوں کی نمائندگی کرتا ہے۔")</f>
        <v>گرینیرکسی پر رائنزبرگ کیسل، جو کبھی فریڈرک دی گریٹ کی رہائش گاہ تھا، روپینر لینڈ کی خوبصورت جھیلوں کی نمائندگی کرتا ہے۔</v>
      </c>
    </row>
    <row r="83" ht="15.75" customHeight="1">
      <c r="A83" s="1">
        <v>82.0</v>
      </c>
      <c r="B83" s="1" t="s">
        <v>247</v>
      </c>
      <c r="C83" s="1" t="s">
        <v>248</v>
      </c>
      <c r="D83" s="1">
        <v>535211.0</v>
      </c>
      <c r="E83" s="1">
        <v>126801.0</v>
      </c>
      <c r="F83" s="1" t="s">
        <v>249</v>
      </c>
      <c r="G83" s="1" t="str">
        <f>IFERROR(__xludf.DUMMYFUNCTION("GOOGLETRANSLATE(F83, ""de"", ""ur"")"),"جرمنی کا سب سے بڑا میٹھے پانی کا ایکویریم Müritzeum میں Mecklenburg Lake District کے نباتات اور حیوانات کے بارے میں معلومات فراہم کرتا ہے۔")</f>
        <v>جرمنی کا سب سے بڑا میٹھے پانی کا ایکویریم Müritzeum میں Mecklenburg Lake District کے نباتات اور حیوانات کے بارے میں معلومات فراہم کرتا ہے۔</v>
      </c>
    </row>
    <row r="84" ht="15.75" customHeight="1">
      <c r="A84" s="1">
        <v>83.0</v>
      </c>
      <c r="B84" s="1" t="s">
        <v>250</v>
      </c>
      <c r="C84" s="1" t="s">
        <v>251</v>
      </c>
      <c r="D84" s="1">
        <v>540865.0</v>
      </c>
      <c r="E84" s="1">
        <v>121095.0</v>
      </c>
      <c r="F84" s="1" t="s">
        <v>252</v>
      </c>
      <c r="G84" s="1" t="str">
        <f>IFERROR(__xludf.DUMMYFUNCTION("GOOGLETRANSLATE(F84, ""de"", ""ur"")"),"Warnemünde کے Alter Strom میں ماہی گیری کی کشتیوں اور کپتان کے گھروں کے ساتھ ہینسیٹک شہر Rostock کی سمندری روایت کو دکھایا گیا ہے۔")</f>
        <v>Warnemünde کے Alter Strom میں ماہی گیری کی کشتیوں اور کپتان کے گھروں کے ساتھ ہینسیٹک شہر Rostock کی سمندری روایت کو دکھایا گیا ہے۔</v>
      </c>
    </row>
    <row r="85" ht="15.75" customHeight="1">
      <c r="A85" s="1">
        <v>84.0</v>
      </c>
      <c r="B85" s="1" t="s">
        <v>253</v>
      </c>
      <c r="C85" s="1" t="s">
        <v>254</v>
      </c>
      <c r="D85" s="1">
        <v>543996.0</v>
      </c>
      <c r="E85" s="1">
        <v>124539.0</v>
      </c>
      <c r="F85" s="1" t="s">
        <v>255</v>
      </c>
      <c r="G85" s="1" t="str">
        <f>IFERROR(__xludf.DUMMYFUNCTION("GOOGLETRANSLATE(F85, ""de"", ""ur"")"),"اہرنشوپ کا سابقہ ​​ماہی گیری گاؤں 1890 سے فنکاروں کی کالونی بن گیا۔ کچی چھتیں اور بالٹک سمندری روشنی آج بھی مصوروں کو متاثر کرتی ہے۔")</f>
        <v>اہرنشوپ کا سابقہ ​​ماہی گیری گاؤں 1890 سے فنکاروں کی کالونی بن گیا۔ کچی چھتیں اور بالٹک سمندری روشنی آج بھی مصوروں کو متاثر کرتی ہے۔</v>
      </c>
    </row>
    <row r="86" ht="15.75" customHeight="1">
      <c r="A86" s="1">
        <v>85.0</v>
      </c>
      <c r="B86" s="1" t="s">
        <v>256</v>
      </c>
      <c r="C86" s="1" t="s">
        <v>257</v>
      </c>
      <c r="D86" s="1">
        <v>543126.0</v>
      </c>
      <c r="E86" s="1">
        <v>130929.0</v>
      </c>
      <c r="F86" s="1" t="s">
        <v>258</v>
      </c>
      <c r="G86" s="1" t="str">
        <f>IFERROR(__xludf.DUMMYFUNCTION("GOOGLETRANSLATE(F86, ""de"", ""ur"")"),"Stralsund کی اینٹوں کے گوتھک پرانے شہر کو 1234 میں شہر کے حقوق ملے۔ ایک Hanseatic بندرگاہ کے طور پر، یہ Wismar کے ساتھ یونیسکو کے عالمی ثقافتی ورثہ کی جگہ ہے۔")</f>
        <v>Stralsund کی اینٹوں کے گوتھک پرانے شہر کو 1234 میں شہر کے حقوق ملے۔ ایک Hanseatic بندرگاہ کے طور پر، یہ Wismar کے ساتھ یونیسکو کے عالمی ثقافتی ورثہ کی جگہ ہے۔</v>
      </c>
    </row>
    <row r="87" ht="15.75" customHeight="1">
      <c r="A87" s="1">
        <v>86.0</v>
      </c>
      <c r="B87" s="1" t="s">
        <v>259</v>
      </c>
      <c r="C87" s="1" t="s">
        <v>260</v>
      </c>
      <c r="D87" s="1">
        <v>540924.0</v>
      </c>
      <c r="E87" s="1">
        <v>134022.0</v>
      </c>
      <c r="F87" s="1" t="s">
        <v>261</v>
      </c>
      <c r="G87" s="1" t="str">
        <f>IFERROR(__xludf.DUMMYFUNCTION("GOOGLETRANSLATE(F87, ""de"", ""ur"")"),"سینٹ نکولائی کیتھیڈرل (13ویں صدی) گریفسوالڈ کے سلہیٹ پر حاوی ہے اور شمالی جرمن اینٹوں کے گوتھک اور ہینسیٹک دولت کو مجسم بناتا ہے۔")</f>
        <v>سینٹ نکولائی کیتھیڈرل (13ویں صدی) گریفسوالڈ کے سلہیٹ پر حاوی ہے اور شمالی جرمن اینٹوں کے گوتھک اور ہینسیٹک دولت کو مجسم بناتا ہے۔</v>
      </c>
    </row>
    <row r="88" ht="15.75" customHeight="1">
      <c r="A88" s="1">
        <v>87.0</v>
      </c>
      <c r="B88" s="1" t="s">
        <v>262</v>
      </c>
      <c r="C88" s="1" t="s">
        <v>263</v>
      </c>
      <c r="D88" s="1">
        <v>545406.0</v>
      </c>
      <c r="E88" s="1">
        <v>135747.0</v>
      </c>
      <c r="F88" s="1" t="s">
        <v>264</v>
      </c>
      <c r="G88" s="1" t="str">
        <f>IFERROR(__xludf.DUMMYFUNCTION("GOOGLETRANSLATE(F88, ""de"", ""ur"")"),"جاسمنڈ نیشنل پارک کی سفید چاک چٹانیں اور بیچ کے قدیم جنگلات یونیسکو کے عالمی ثقافتی ورثے کی جگہ ہیں اور رومانوی مصوروں کے لیے ایک تحریک ہیں۔")</f>
        <v>جاسمنڈ نیشنل پارک کی سفید چاک چٹانیں اور بیچ کے قدیم جنگلات یونیسکو کے عالمی ثقافتی ورثے کی جگہ ہیں اور رومانوی مصوروں کے لیے ایک تحریک ہیں۔</v>
      </c>
    </row>
    <row r="89" ht="15.75" customHeight="1">
      <c r="A89" s="1">
        <v>88.0</v>
      </c>
      <c r="B89" s="1" t="s">
        <v>265</v>
      </c>
      <c r="C89" s="1" t="s">
        <v>266</v>
      </c>
      <c r="D89" s="1">
        <v>540536.0</v>
      </c>
      <c r="E89" s="1">
        <v>142743.0</v>
      </c>
      <c r="F89" s="1" t="s">
        <v>267</v>
      </c>
      <c r="G89" s="1" t="str">
        <f>IFERROR(__xludf.DUMMYFUNCTION("GOOGLETRANSLATE(F89, ""de"", ""ur"")"),"1900 کے بعد سے، اہلبیک، ہیرنگڈورف اور بانسن نے برلن کے بورژوازی کو بحیرہ بالٹک کی طرف اپنے گھاٹوں اور ریزورٹ فن تعمیر کی طرف راغب کیا ہے۔")</f>
        <v>1900 کے بعد سے، اہلبیک، ہیرنگڈورف اور بانسن نے برلن کے بورژوازی کو بحیرہ بالٹک کی طرف اپنے گھاٹوں اور ریزورٹ فن تعمیر کی طرف راغب کیا ہے۔</v>
      </c>
    </row>
    <row r="90" ht="15.75" customHeight="1">
      <c r="A90" s="1">
        <v>89.0</v>
      </c>
      <c r="B90" s="1" t="s">
        <v>268</v>
      </c>
      <c r="C90" s="1" t="s">
        <v>269</v>
      </c>
      <c r="D90" s="1">
        <v>538923.0</v>
      </c>
      <c r="E90" s="1">
        <v>114628.0</v>
      </c>
      <c r="F90" s="1" t="s">
        <v>270</v>
      </c>
      <c r="G90" s="1" t="str">
        <f>IFERROR(__xludf.DUMMYFUNCTION("GOOGLETRANSLATE(F90, ""de"", ""ur"")"),"گیبل ہاؤسز، واٹر آرٹ اور اینٹوں کے گرجا گھر وسمار کے ہینسیٹک ماضی کی گواہی دیتے ہیں اور پرانے شہر کو عالمی ثقافتی ورثہ کی جگہ بنا دیا ہے۔")</f>
        <v>گیبل ہاؤسز، واٹر آرٹ اور اینٹوں کے گرجا گھر وسمار کے ہینسیٹک ماضی کی گواہی دیتے ہیں اور پرانے شہر کو عالمی ثقافتی ورثہ کی جگہ بنا دیا ہے۔</v>
      </c>
    </row>
    <row r="91" ht="15.75" customHeight="1">
      <c r="A91" s="1">
        <v>90.0</v>
      </c>
      <c r="B91" s="1" t="s">
        <v>271</v>
      </c>
      <c r="C91" s="1" t="s">
        <v>271</v>
      </c>
      <c r="D91" s="1">
        <v>536294.0</v>
      </c>
      <c r="E91" s="1">
        <v>114154.0</v>
      </c>
      <c r="F91" s="1" t="s">
        <v>272</v>
      </c>
      <c r="G91" s="1" t="str">
        <f>IFERROR(__xludf.DUMMYFUNCTION("GOOGLETRANSLATE(F91, ""de"", ""ur"")"),"ٹاورز اور سنہری اسپائر کے ساتھ رومانوی جزیرے کا قلعہ میکلنبرگ-ویسٹرن پومیرینیا ریاستی پارلیمنٹ کی نشست اور ایک افسانوی شکل ہے۔")</f>
        <v>ٹاورز اور سنہری اسپائر کے ساتھ رومانوی جزیرے کا قلعہ میکلنبرگ-ویسٹرن پومیرینیا ریاستی پارلیمنٹ کی نشست اور ایک افسانوی شکل ہے۔</v>
      </c>
    </row>
    <row r="92" ht="15.75" customHeight="1">
      <c r="A92" s="1">
        <v>91.0</v>
      </c>
      <c r="B92" s="1" t="s">
        <v>273</v>
      </c>
      <c r="C92" s="1" t="s">
        <v>274</v>
      </c>
      <c r="D92" s="1">
        <v>538683.0</v>
      </c>
      <c r="E92" s="1">
        <v>106873.0</v>
      </c>
      <c r="F92" s="1" t="s">
        <v>275</v>
      </c>
      <c r="G92" s="1" t="str">
        <f>IFERROR(__xludf.DUMMYFUNCTION("GOOGLETRANSLATE(F92, ""de"", ""ur"")"),"آنجہانی گوتھک ہولسٹینٹر (1464–1478) جڑواں ٹاورز کے ساتھ لیوبیک کا تاریخی نشان ہے اور ہینسیٹک لیگ کے عروج کے دن کی یاد دلاتا ہے۔")</f>
        <v>آنجہانی گوتھک ہولسٹینٹر (1464–1478) جڑواں ٹاورز کے ساتھ لیوبیک کا تاریخی نشان ہے اور ہینسیٹک لیگ کے عروج کے دن کی یاد دلاتا ہے۔</v>
      </c>
    </row>
    <row r="93" ht="15.75" customHeight="1">
      <c r="A93" s="1">
        <v>92.0</v>
      </c>
      <c r="B93" s="1" t="s">
        <v>276</v>
      </c>
      <c r="C93" s="1" t="s">
        <v>277</v>
      </c>
      <c r="D93" s="1">
        <v>535496.0</v>
      </c>
      <c r="E93" s="1">
        <v>99882.0</v>
      </c>
      <c r="F93" s="1" t="s">
        <v>278</v>
      </c>
      <c r="G93" s="1" t="str">
        <f>IFERROR(__xludf.DUMMYFUNCTION("GOOGLETRANSLATE(F93, ""de"", ""ur"")"),"132 میٹر ٹاور کے ساتھ باروک مشیل ملاحوں اور ہیمبرگ کے رہائشیوں کو ایک تاریخی نشان پیش کرتا ہے جو ان کی شناخت بناتا ہے۔")</f>
        <v>132 میٹر ٹاور کے ساتھ باروک مشیل ملاحوں اور ہیمبرگ کے رہائشیوں کو ایک تاریخی نشان پیش کرتا ہے جو ان کی شناخت بناتا ہے۔</v>
      </c>
    </row>
    <row r="94" ht="15.75" customHeight="1">
      <c r="A94" s="1">
        <v>93.0</v>
      </c>
      <c r="B94" s="1" t="s">
        <v>279</v>
      </c>
      <c r="C94" s="1" t="s">
        <v>280</v>
      </c>
      <c r="D94" s="1">
        <v>535411.0</v>
      </c>
      <c r="E94" s="1">
        <v>99847.0</v>
      </c>
      <c r="F94" s="1" t="s">
        <v>281</v>
      </c>
      <c r="G94" s="1" t="str">
        <f>IFERROR(__xludf.DUMMYFUNCTION("GOOGLETRANSLATE(F94, ""de"", ""ur"")"),"کنسرٹ ہال، جو 2017 میں کھلا، تاریخی کوے اسٹوریج پر جدید شیشے کی لہر کی تعمیر کو یکجا کرتا ہے اور صوتی معیارات طے کرتا ہے۔")</f>
        <v>کنسرٹ ہال، جو 2017 میں کھلا، تاریخی کوے اسٹوریج پر جدید شیشے کی لہر کی تعمیر کو یکجا کرتا ہے اور صوتی معیارات طے کرتا ہے۔</v>
      </c>
    </row>
    <row r="95" ht="15.75" customHeight="1">
      <c r="A95" s="1">
        <v>94.0</v>
      </c>
      <c r="B95" s="1" t="s">
        <v>282</v>
      </c>
      <c r="C95" s="1" t="s">
        <v>283</v>
      </c>
      <c r="D95" s="1">
        <v>535462.0</v>
      </c>
      <c r="E95" s="1">
        <v>99667.0</v>
      </c>
      <c r="F95" s="1" t="s">
        <v>284</v>
      </c>
      <c r="G95" s="1" t="str">
        <f>IFERROR(__xludf.DUMMYFUNCTION("GOOGLETRANSLATE(F95, ""de"", ""ur"")"),"یورپ کا سب سے بڑا ہاربر فیسٹیول 1189 سے ہیمبرگ کی شپنگ کا جشن منا رہا ہے جس میں بحری جہازوں سے لے کر کروز بحری جہازوں تک ہر چیز کی آنے والی اور جانے والی پریڈ ہوتی ہے۔")</f>
        <v>یورپ کا سب سے بڑا ہاربر فیسٹیول 1189 سے ہیمبرگ کی شپنگ کا جشن منا رہا ہے جس میں بحری جہازوں سے لے کر کروز بحری جہازوں تک ہر چیز کی آنے والی اور جانے والی پریڈ ہوتی ہے۔</v>
      </c>
    </row>
    <row r="96" ht="15.75" customHeight="1">
      <c r="A96" s="1">
        <v>95.0</v>
      </c>
      <c r="B96" s="1" t="s">
        <v>285</v>
      </c>
      <c r="C96" s="1" t="s">
        <v>286</v>
      </c>
      <c r="D96" s="1">
        <v>535503.0</v>
      </c>
      <c r="E96" s="1">
        <v>99668.0</v>
      </c>
      <c r="F96" s="1" t="s">
        <v>287</v>
      </c>
      <c r="G96" s="1" t="str">
        <f>IFERROR(__xludf.DUMMYFUNCTION("GOOGLETRANSLATE(F96, ""de"", ""ur"")"),"سینٹ پاؤلی کا ریپربان ایک عالمی شہرت یافتہ تفریحی اور ریڈ لائٹ ڈسٹرکٹ ہے، جہاں بیٹلز نے 1960 کی دہائی میں کامیابی حاصل کی تھی۔")</f>
        <v>سینٹ پاؤلی کا ریپربان ایک عالمی شہرت یافتہ تفریحی اور ریڈ لائٹ ڈسٹرکٹ ہے، جہاں بیٹلز نے 1960 کی دہائی میں کامیابی حاصل کی تھی۔</v>
      </c>
    </row>
    <row r="97" ht="15.75" customHeight="1">
      <c r="A97" s="1">
        <v>96.0</v>
      </c>
      <c r="B97" s="1" t="s">
        <v>288</v>
      </c>
      <c r="C97" s="1" t="s">
        <v>289</v>
      </c>
      <c r="D97" s="1">
        <v>543215.0</v>
      </c>
      <c r="E97" s="1">
        <v>10131.0</v>
      </c>
      <c r="F97" s="1" t="s">
        <v>290</v>
      </c>
      <c r="G97" s="1" t="str">
        <f>IFERROR(__xludf.DUMMYFUNCTION("GOOGLETRANSLATE(F97, ""de"", ""ur"")"),"THW Kiel، متعدد جرمن اور چیمپئنز لیگ کا فاتح، Wunderino Arena میں عالمی معیار کے ہینڈ بال ماحول کو یقینی بناتا ہے۔")</f>
        <v>THW Kiel، متعدد جرمن اور چیمپئنز لیگ کا فاتح، Wunderino Arena میں عالمی معیار کے ہینڈ بال ماحول کو یقینی بناتا ہے۔</v>
      </c>
    </row>
    <row r="98" ht="15.75" customHeight="1">
      <c r="A98" s="1">
        <v>97.0</v>
      </c>
      <c r="B98" s="1" t="s">
        <v>291</v>
      </c>
      <c r="C98" s="1" t="s">
        <v>292</v>
      </c>
      <c r="D98" s="1">
        <v>543233.0</v>
      </c>
      <c r="E98" s="1">
        <v>10139.0</v>
      </c>
      <c r="F98" s="1" t="s">
        <v>293</v>
      </c>
      <c r="G98" s="1" t="str">
        <f>IFERROR(__xludf.DUMMYFUNCTION("GOOGLETRANSLATE(F98, ""de"", ""ur"")"),"1882 سے، کیل ویک دنیا کا سب سے بڑا سیلنگ ایونٹ رہا ہے۔ Regattas اور ایک سمندری تہوار ایک ہفتے کے لیے fjord کو زندہ کرتے ہیں۔")</f>
        <v>1882 سے، کیل ویک دنیا کا سب سے بڑا سیلنگ ایونٹ رہا ہے۔ Regattas اور ایک سمندری تہوار ایک ہفتے کے لیے fjord کو زندہ کرتے ہیں۔</v>
      </c>
    </row>
    <row r="99" ht="15.75" customHeight="1">
      <c r="A99" s="1">
        <v>98.0</v>
      </c>
      <c r="B99" s="1" t="s">
        <v>294</v>
      </c>
      <c r="C99" s="1" t="s">
        <v>295</v>
      </c>
      <c r="D99" s="1">
        <v>543433.0</v>
      </c>
      <c r="E99" s="1">
        <v>101247.0</v>
      </c>
      <c r="F99" s="1" t="s">
        <v>296</v>
      </c>
      <c r="G99" s="1" t="str">
        <f>IFERROR(__xludf.DUMMYFUNCTION("GOOGLETRANSLATE(F99, ""de"", ""ur"")"),"کیل میں پیدا ہونے والے ماہر طبیعیات میکس پلانک (1858–1947) نے اپنے کوانٹم تھیوری سے جدید طبیعیات کی بنیاد رکھی۔")</f>
        <v>کیل میں پیدا ہونے والے ماہر طبیعیات میکس پلانک (1858–1947) نے اپنے کوانٹم تھیوری سے جدید طبیعیات کی بنیاد رکھی۔</v>
      </c>
    </row>
    <row r="100" ht="15.75" customHeight="1">
      <c r="A100" s="1">
        <v>99.0</v>
      </c>
      <c r="B100" s="1" t="s">
        <v>297</v>
      </c>
      <c r="C100" s="1" t="s">
        <v>298</v>
      </c>
      <c r="D100" s="1">
        <v>549063.0</v>
      </c>
      <c r="E100" s="1">
        <v>83028.0</v>
      </c>
      <c r="F100" s="1" t="s">
        <v>299</v>
      </c>
      <c r="G100" s="1" t="str">
        <f>IFERROR(__xludf.DUMMYFUNCTION("GOOGLETRANSLATE(F100, ""de"", ""ur"")"),"Sylt سپا کی روایت، لامتناہی سینڈی ساحل اور مشہور شخصیت کے مزاج کو یکجا کرتا ہے۔ ساحل سمندر کی کرسیاں اور کچے دیہات جرمنی کے سب سے مشہور شمالی سمندری جزیرے کی خصوصیت رکھتے ہیں۔")</f>
        <v>Sylt سپا کی روایت، لامتناہی سینڈی ساحل اور مشہور شخصیت کے مزاج کو یکجا کرتا ہے۔ ساحل سمندر کی کرسیاں اور کچے دیہات جرمنی کے سب سے مشہور شمالی سمندری جزیرے کی خصوصیت رکھتے ہیں۔</v>
      </c>
    </row>
    <row r="101" ht="15.75" customHeight="1">
      <c r="A101" s="1">
        <v>100.0</v>
      </c>
      <c r="B101" s="1" t="s">
        <v>300</v>
      </c>
      <c r="C101" s="1" t="s">
        <v>301</v>
      </c>
      <c r="D101" s="1">
        <v>521317.0</v>
      </c>
      <c r="E101" s="1">
        <v>116394.0</v>
      </c>
      <c r="F101" s="1" t="s">
        <v>302</v>
      </c>
      <c r="G101" s="1" t="str">
        <f>IFERROR(__xludf.DUMMYFUNCTION("GOOGLETRANSLATE(F101, ""de"", ""ur"")"),"ہماری لیڈی کی خانقاہ میں آرٹ میوزیم رومنسک فن تعمیر کو بین الاقوامی معاصر فن کے ساتھ جوڑتا ہے - جدید میگڈبرگ کی علامت۔")</f>
        <v>ہماری لیڈی کی خانقاہ میں آرٹ میوزیم رومنسک فن تعمیر کو بین الاقوامی معاصر فن کے ساتھ جوڑتا ہے - جدید میگڈبرگ کی علامت۔</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7.43"/>
    <col customWidth="1" min="3" max="3" width="38.0"/>
    <col customWidth="1" min="4" max="4" width="10.57"/>
    <col customWidth="1" min="5" max="5" width="12.14"/>
    <col customWidth="1" min="6" max="6" width="81.14"/>
    <col customWidth="1" min="7" max="26" width="10.71"/>
  </cols>
  <sheetData>
    <row r="1">
      <c r="A1" s="1" t="s">
        <v>0</v>
      </c>
      <c r="B1" s="1" t="s">
        <v>1</v>
      </c>
      <c r="C1" s="1" t="s">
        <v>2</v>
      </c>
      <c r="D1" s="1" t="s">
        <v>3</v>
      </c>
      <c r="E1" s="1" t="s">
        <v>4</v>
      </c>
      <c r="F1" s="1" t="s">
        <v>303</v>
      </c>
    </row>
    <row r="2">
      <c r="A2" s="1">
        <v>1.0</v>
      </c>
      <c r="B2" s="1" t="s">
        <v>6</v>
      </c>
      <c r="C2" s="1" t="s">
        <v>304</v>
      </c>
      <c r="D2" s="1">
        <v>501096.0</v>
      </c>
      <c r="E2" s="1">
        <v>86724.0</v>
      </c>
      <c r="F2" s="1" t="s">
        <v>305</v>
      </c>
    </row>
    <row r="3">
      <c r="A3" s="1">
        <v>2.0</v>
      </c>
      <c r="B3" s="1" t="s">
        <v>9</v>
      </c>
      <c r="C3" s="1" t="s">
        <v>306</v>
      </c>
      <c r="D3" s="1">
        <v>501106.0</v>
      </c>
      <c r="E3" s="1">
        <v>86821.0</v>
      </c>
      <c r="F3" s="1" t="s">
        <v>307</v>
      </c>
    </row>
    <row r="4">
      <c r="A4" s="1">
        <v>3.0</v>
      </c>
      <c r="B4" s="1" t="s">
        <v>12</v>
      </c>
      <c r="C4" s="1" t="s">
        <v>308</v>
      </c>
      <c r="D4" s="1">
        <v>500826.0</v>
      </c>
      <c r="E4" s="1">
        <v>82435.0</v>
      </c>
      <c r="F4" s="1" t="s">
        <v>309</v>
      </c>
    </row>
    <row r="5">
      <c r="A5" s="1">
        <v>4.0</v>
      </c>
      <c r="B5" s="1" t="s">
        <v>15</v>
      </c>
      <c r="C5" s="1" t="s">
        <v>310</v>
      </c>
      <c r="D5" s="1">
        <v>499983.0</v>
      </c>
      <c r="E5" s="1">
        <v>82711.0</v>
      </c>
      <c r="F5" s="1" t="s">
        <v>311</v>
      </c>
    </row>
    <row r="6">
      <c r="A6" s="1">
        <v>5.0</v>
      </c>
      <c r="B6" s="1" t="s">
        <v>18</v>
      </c>
      <c r="C6" s="1" t="s">
        <v>312</v>
      </c>
      <c r="D6" s="1">
        <v>499992.0</v>
      </c>
      <c r="E6" s="1">
        <v>79433.0</v>
      </c>
      <c r="F6" s="1" t="s">
        <v>313</v>
      </c>
    </row>
    <row r="7">
      <c r="A7" s="1">
        <v>6.0</v>
      </c>
      <c r="B7" s="1" t="s">
        <v>21</v>
      </c>
      <c r="C7" s="1" t="s">
        <v>314</v>
      </c>
      <c r="D7" s="1">
        <v>49804.0</v>
      </c>
      <c r="E7" s="1">
        <v>7967.0</v>
      </c>
      <c r="F7" s="1" t="s">
        <v>315</v>
      </c>
    </row>
    <row r="8">
      <c r="A8" s="1">
        <v>7.0</v>
      </c>
      <c r="B8" s="1" t="s">
        <v>24</v>
      </c>
      <c r="C8" s="1" t="s">
        <v>316</v>
      </c>
      <c r="D8" s="1">
        <v>501389.0</v>
      </c>
      <c r="E8" s="1">
        <v>77089.0</v>
      </c>
      <c r="F8" s="1" t="s">
        <v>26</v>
      </c>
    </row>
    <row r="9">
      <c r="A9" s="1">
        <v>8.0</v>
      </c>
      <c r="B9" s="1" t="s">
        <v>27</v>
      </c>
      <c r="C9" s="1" t="s">
        <v>317</v>
      </c>
      <c r="D9" s="1">
        <v>501172.0</v>
      </c>
      <c r="E9" s="1">
        <v>76071.0</v>
      </c>
      <c r="F9" s="1" t="s">
        <v>318</v>
      </c>
    </row>
    <row r="10">
      <c r="A10" s="1">
        <v>9.0</v>
      </c>
      <c r="B10" s="1" t="s">
        <v>30</v>
      </c>
      <c r="C10" s="1" t="s">
        <v>319</v>
      </c>
      <c r="D10" s="1">
        <v>503569.0</v>
      </c>
      <c r="E10" s="1">
        <v>75881.0</v>
      </c>
      <c r="F10" s="1" t="s">
        <v>320</v>
      </c>
    </row>
    <row r="11">
      <c r="A11" s="1">
        <v>10.0</v>
      </c>
      <c r="B11" s="1" t="s">
        <v>33</v>
      </c>
      <c r="C11" s="1" t="s">
        <v>321</v>
      </c>
      <c r="D11" s="1">
        <v>503341.0</v>
      </c>
      <c r="E11" s="1">
        <v>69476.0</v>
      </c>
      <c r="F11" s="1" t="s">
        <v>322</v>
      </c>
    </row>
    <row r="12">
      <c r="A12" s="1">
        <v>11.0</v>
      </c>
      <c r="B12" s="1" t="s">
        <v>36</v>
      </c>
      <c r="C12" s="1" t="s">
        <v>323</v>
      </c>
      <c r="D12" s="1">
        <v>507368.0</v>
      </c>
      <c r="E12" s="1">
        <v>7101.0</v>
      </c>
      <c r="F12" s="1" t="s">
        <v>324</v>
      </c>
    </row>
    <row r="13">
      <c r="A13" s="1">
        <v>12.0</v>
      </c>
      <c r="B13" s="1" t="s">
        <v>325</v>
      </c>
      <c r="C13" s="1" t="s">
        <v>326</v>
      </c>
      <c r="D13" s="1">
        <v>509403.0</v>
      </c>
      <c r="E13" s="1">
        <v>6957.0</v>
      </c>
      <c r="F13" s="1" t="s">
        <v>327</v>
      </c>
    </row>
    <row r="14">
      <c r="A14" s="1">
        <v>13.0</v>
      </c>
      <c r="B14" s="1" t="s">
        <v>42</v>
      </c>
      <c r="C14" s="1" t="s">
        <v>328</v>
      </c>
      <c r="D14" s="1">
        <v>509413.0</v>
      </c>
      <c r="E14" s="1">
        <v>69583.0</v>
      </c>
      <c r="F14" s="1" t="s">
        <v>329</v>
      </c>
    </row>
    <row r="15">
      <c r="A15" s="1">
        <v>14.0</v>
      </c>
      <c r="B15" s="1" t="s">
        <v>45</v>
      </c>
      <c r="C15" s="1" t="s">
        <v>330</v>
      </c>
      <c r="D15" s="1">
        <v>512275.0</v>
      </c>
      <c r="E15" s="1">
        <v>6937.0</v>
      </c>
      <c r="F15" s="1" t="s">
        <v>331</v>
      </c>
    </row>
    <row r="16">
      <c r="A16" s="1">
        <v>15.0</v>
      </c>
      <c r="B16" s="1" t="s">
        <v>48</v>
      </c>
      <c r="C16" s="1" t="s">
        <v>332</v>
      </c>
      <c r="D16" s="1">
        <v>512277.0</v>
      </c>
      <c r="E16" s="1">
        <v>67735.0</v>
      </c>
      <c r="F16" s="1" t="s">
        <v>333</v>
      </c>
    </row>
    <row r="17">
      <c r="A17" s="1">
        <v>16.0</v>
      </c>
      <c r="B17" s="1" t="s">
        <v>51</v>
      </c>
      <c r="C17" s="1" t="s">
        <v>334</v>
      </c>
      <c r="D17" s="1">
        <v>514344.0</v>
      </c>
      <c r="E17" s="1">
        <v>67573.0</v>
      </c>
      <c r="F17" s="1" t="s">
        <v>335</v>
      </c>
    </row>
    <row r="18">
      <c r="A18" s="1">
        <v>17.0</v>
      </c>
      <c r="B18" s="1" t="s">
        <v>54</v>
      </c>
      <c r="C18" s="1" t="s">
        <v>336</v>
      </c>
      <c r="D18" s="1">
        <v>514839.0</v>
      </c>
      <c r="E18" s="1">
        <v>70226.0</v>
      </c>
      <c r="F18" s="1" t="s">
        <v>56</v>
      </c>
    </row>
    <row r="19">
      <c r="A19" s="1">
        <v>18.0</v>
      </c>
      <c r="B19" s="1" t="s">
        <v>57</v>
      </c>
      <c r="C19" s="1" t="s">
        <v>337</v>
      </c>
      <c r="D19" s="1">
        <v>5149.0</v>
      </c>
      <c r="E19" s="1">
        <v>70375.0</v>
      </c>
      <c r="F19" s="1" t="s">
        <v>338</v>
      </c>
    </row>
    <row r="20">
      <c r="A20" s="1">
        <v>19.0</v>
      </c>
      <c r="B20" s="1" t="s">
        <v>339</v>
      </c>
      <c r="C20" s="1" t="s">
        <v>340</v>
      </c>
      <c r="D20" s="1">
        <v>514925.0</v>
      </c>
      <c r="E20" s="1">
        <v>74517.0</v>
      </c>
      <c r="F20" s="1" t="s">
        <v>341</v>
      </c>
    </row>
    <row r="21" ht="15.75" customHeight="1">
      <c r="A21" s="1">
        <v>20.0</v>
      </c>
      <c r="B21" s="1" t="s">
        <v>342</v>
      </c>
      <c r="C21" s="1" t="s">
        <v>343</v>
      </c>
      <c r="D21" s="1">
        <v>519628.0</v>
      </c>
      <c r="E21" s="1">
        <v>76254.0</v>
      </c>
      <c r="F21" s="1" t="s">
        <v>344</v>
      </c>
    </row>
    <row r="22" ht="15.75" customHeight="1">
      <c r="A22" s="1">
        <v>21.0</v>
      </c>
      <c r="B22" s="1" t="s">
        <v>66</v>
      </c>
      <c r="C22" s="1" t="s">
        <v>345</v>
      </c>
      <c r="D22" s="1">
        <v>520302.0</v>
      </c>
      <c r="E22" s="1">
        <v>85325.0</v>
      </c>
      <c r="F22" s="1" t="s">
        <v>346</v>
      </c>
    </row>
    <row r="23" ht="15.75" customHeight="1">
      <c r="A23" s="1">
        <v>22.0</v>
      </c>
      <c r="B23" s="1" t="s">
        <v>69</v>
      </c>
      <c r="C23" s="1" t="s">
        <v>347</v>
      </c>
      <c r="D23" s="1">
        <v>523759.0</v>
      </c>
      <c r="E23" s="1">
        <v>9732.0</v>
      </c>
      <c r="F23" s="1" t="s">
        <v>348</v>
      </c>
    </row>
    <row r="24" ht="15.75" customHeight="1">
      <c r="A24" s="1">
        <v>23.0</v>
      </c>
      <c r="B24" s="1" t="s">
        <v>72</v>
      </c>
      <c r="C24" s="1" t="s">
        <v>349</v>
      </c>
      <c r="D24" s="1">
        <v>523759.0</v>
      </c>
      <c r="E24" s="1">
        <v>9732.0</v>
      </c>
      <c r="F24" s="1" t="s">
        <v>350</v>
      </c>
    </row>
    <row r="25" ht="15.75" customHeight="1">
      <c r="A25" s="1">
        <v>24.0</v>
      </c>
      <c r="B25" s="1" t="s">
        <v>75</v>
      </c>
      <c r="C25" s="1" t="s">
        <v>351</v>
      </c>
      <c r="D25" s="1">
        <v>523728.0</v>
      </c>
      <c r="E25" s="1">
        <v>97441.0</v>
      </c>
      <c r="F25" s="1" t="s">
        <v>77</v>
      </c>
    </row>
    <row r="26" ht="15.75" customHeight="1">
      <c r="A26" s="1">
        <v>25.0</v>
      </c>
      <c r="B26" s="1" t="s">
        <v>78</v>
      </c>
      <c r="C26" s="1" t="s">
        <v>352</v>
      </c>
      <c r="D26" s="1">
        <v>523909.0</v>
      </c>
      <c r="E26" s="1">
        <v>97335.0</v>
      </c>
      <c r="F26" s="1" t="s">
        <v>353</v>
      </c>
    </row>
    <row r="27" ht="15.75" customHeight="1">
      <c r="A27" s="1">
        <v>26.0</v>
      </c>
      <c r="B27" s="1" t="s">
        <v>354</v>
      </c>
      <c r="C27" s="1" t="s">
        <v>354</v>
      </c>
      <c r="D27" s="1">
        <v>522689.0</v>
      </c>
      <c r="E27" s="1">
        <v>105268.0</v>
      </c>
      <c r="F27" s="1" t="s">
        <v>355</v>
      </c>
    </row>
    <row r="28" ht="15.75" customHeight="1">
      <c r="A28" s="1">
        <v>27.0</v>
      </c>
      <c r="B28" s="1" t="s">
        <v>83</v>
      </c>
      <c r="C28" s="1" t="s">
        <v>356</v>
      </c>
      <c r="D28" s="1">
        <v>524224.0</v>
      </c>
      <c r="E28" s="1">
        <v>107864.0</v>
      </c>
      <c r="F28" s="1" t="s">
        <v>357</v>
      </c>
    </row>
    <row r="29" ht="15.75" customHeight="1">
      <c r="A29" s="1">
        <v>28.0</v>
      </c>
      <c r="B29" s="1" t="s">
        <v>358</v>
      </c>
      <c r="C29" s="1" t="s">
        <v>359</v>
      </c>
      <c r="D29" s="1">
        <v>524225.0</v>
      </c>
      <c r="E29" s="1">
        <v>107864.0</v>
      </c>
      <c r="F29" s="1" t="s">
        <v>360</v>
      </c>
    </row>
    <row r="30" ht="15.75" customHeight="1">
      <c r="A30" s="1">
        <v>29.0</v>
      </c>
      <c r="B30" s="1" t="s">
        <v>89</v>
      </c>
      <c r="C30" s="1" t="s">
        <v>361</v>
      </c>
      <c r="D30" s="1">
        <v>519045.0</v>
      </c>
      <c r="E30" s="1">
        <v>104297.0</v>
      </c>
      <c r="F30" s="1" t="s">
        <v>91</v>
      </c>
    </row>
    <row r="31" ht="15.75" customHeight="1">
      <c r="A31" s="1">
        <v>30.0</v>
      </c>
      <c r="B31" s="1" t="s">
        <v>362</v>
      </c>
      <c r="C31" s="1" t="s">
        <v>363</v>
      </c>
      <c r="D31" s="1">
        <v>515403.0</v>
      </c>
      <c r="E31" s="1">
        <v>99357.0</v>
      </c>
      <c r="F31" s="1" t="s">
        <v>364</v>
      </c>
    </row>
    <row r="32" ht="15.75" customHeight="1">
      <c r="A32" s="1">
        <v>31.0</v>
      </c>
      <c r="B32" s="1" t="s">
        <v>365</v>
      </c>
      <c r="C32" s="1" t="s">
        <v>366</v>
      </c>
      <c r="D32" s="1">
        <v>513155.0</v>
      </c>
      <c r="E32" s="1">
        <v>94962.0</v>
      </c>
      <c r="F32" s="1" t="s">
        <v>367</v>
      </c>
    </row>
    <row r="33" ht="15.75" customHeight="1">
      <c r="A33" s="1">
        <v>32.0</v>
      </c>
      <c r="B33" s="1" t="s">
        <v>98</v>
      </c>
      <c r="C33" s="1" t="s">
        <v>368</v>
      </c>
      <c r="D33" s="1">
        <v>513118.0</v>
      </c>
      <c r="E33" s="1">
        <v>9497.0</v>
      </c>
      <c r="F33" s="1" t="s">
        <v>369</v>
      </c>
    </row>
    <row r="34" ht="15.75" customHeight="1">
      <c r="A34" s="1">
        <v>33.0</v>
      </c>
      <c r="B34" s="1" t="s">
        <v>101</v>
      </c>
      <c r="C34" s="1" t="s">
        <v>370</v>
      </c>
      <c r="D34" s="1">
        <v>513116.0</v>
      </c>
      <c r="E34" s="1">
        <v>94797.0</v>
      </c>
      <c r="F34" s="1" t="s">
        <v>371</v>
      </c>
    </row>
    <row r="35" ht="15.75" customHeight="1">
      <c r="A35" s="1">
        <v>34.0</v>
      </c>
      <c r="B35" s="1" t="s">
        <v>104</v>
      </c>
      <c r="C35" s="1" t="s">
        <v>372</v>
      </c>
      <c r="D35" s="1">
        <v>509711.0</v>
      </c>
      <c r="E35" s="1">
        <v>103277.0</v>
      </c>
      <c r="F35" s="1" t="s">
        <v>373</v>
      </c>
    </row>
    <row r="36" ht="15.75" customHeight="1">
      <c r="A36" s="1">
        <v>35.0</v>
      </c>
      <c r="B36" s="1" t="s">
        <v>107</v>
      </c>
      <c r="C36" s="1" t="s">
        <v>374</v>
      </c>
      <c r="D36" s="1">
        <v>509848.0</v>
      </c>
      <c r="E36" s="1">
        <v>110299.0</v>
      </c>
      <c r="F36" s="1" t="s">
        <v>375</v>
      </c>
    </row>
    <row r="37" ht="15.75" customHeight="1">
      <c r="A37" s="1">
        <v>36.0</v>
      </c>
      <c r="B37" s="1" t="s">
        <v>110</v>
      </c>
      <c r="C37" s="1" t="s">
        <v>376</v>
      </c>
      <c r="D37" s="1">
        <v>509795.0</v>
      </c>
      <c r="E37" s="1">
        <v>11329.0</v>
      </c>
      <c r="F37" s="1" t="s">
        <v>377</v>
      </c>
    </row>
    <row r="38" ht="15.75" customHeight="1">
      <c r="A38" s="1">
        <v>37.0</v>
      </c>
      <c r="B38" s="1" t="s">
        <v>113</v>
      </c>
      <c r="C38" s="1" t="s">
        <v>378</v>
      </c>
      <c r="D38" s="1">
        <v>509793.0</v>
      </c>
      <c r="E38" s="1">
        <v>113292.0</v>
      </c>
      <c r="F38" s="1" t="s">
        <v>379</v>
      </c>
    </row>
    <row r="39" ht="15.75" customHeight="1">
      <c r="A39" s="1">
        <v>38.0</v>
      </c>
      <c r="B39" s="1" t="s">
        <v>116</v>
      </c>
      <c r="C39" s="1" t="s">
        <v>380</v>
      </c>
      <c r="D39" s="1">
        <v>505451.0</v>
      </c>
      <c r="E39" s="1">
        <v>112147.0</v>
      </c>
      <c r="F39" s="1" t="s">
        <v>381</v>
      </c>
    </row>
    <row r="40" ht="15.75" customHeight="1">
      <c r="A40" s="1">
        <v>39.0</v>
      </c>
      <c r="B40" s="1" t="s">
        <v>119</v>
      </c>
      <c r="C40" s="1" t="s">
        <v>382</v>
      </c>
      <c r="D40" s="1">
        <v>505477.0</v>
      </c>
      <c r="E40" s="1">
        <v>111681.0</v>
      </c>
      <c r="F40" s="1" t="s">
        <v>383</v>
      </c>
    </row>
    <row r="41" ht="15.75" customHeight="1">
      <c r="A41" s="1">
        <v>40.0</v>
      </c>
      <c r="B41" s="1" t="s">
        <v>122</v>
      </c>
      <c r="C41" s="1" t="s">
        <v>384</v>
      </c>
      <c r="D41" s="1">
        <v>502599.0</v>
      </c>
      <c r="E41" s="1">
        <v>109644.0</v>
      </c>
      <c r="F41" s="1" t="s">
        <v>385</v>
      </c>
    </row>
    <row r="42" ht="15.75" customHeight="1">
      <c r="A42" s="1">
        <v>41.0</v>
      </c>
      <c r="B42" s="1" t="s">
        <v>125</v>
      </c>
      <c r="C42" s="1" t="s">
        <v>386</v>
      </c>
      <c r="D42" s="1">
        <v>501011.0</v>
      </c>
      <c r="E42" s="1">
        <v>11438.0</v>
      </c>
      <c r="F42" s="1" t="s">
        <v>387</v>
      </c>
    </row>
    <row r="43" ht="15.75" customHeight="1">
      <c r="A43" s="1">
        <v>42.0</v>
      </c>
      <c r="B43" s="1" t="s">
        <v>128</v>
      </c>
      <c r="C43" s="1" t="s">
        <v>388</v>
      </c>
      <c r="D43" s="1">
        <v>501011.0</v>
      </c>
      <c r="E43" s="1">
        <v>11438.0</v>
      </c>
      <c r="F43" s="1" t="s">
        <v>389</v>
      </c>
    </row>
    <row r="44" ht="15.75" customHeight="1">
      <c r="A44" s="1">
        <v>43.0</v>
      </c>
      <c r="B44" s="1" t="s">
        <v>131</v>
      </c>
      <c r="C44" s="1" t="s">
        <v>390</v>
      </c>
      <c r="D44" s="1">
        <v>499487.0</v>
      </c>
      <c r="E44" s="1">
        <v>11576.0</v>
      </c>
      <c r="F44" s="1" t="s">
        <v>391</v>
      </c>
    </row>
    <row r="45" ht="15.75" customHeight="1">
      <c r="A45" s="1">
        <v>44.0</v>
      </c>
      <c r="B45" s="1" t="s">
        <v>134</v>
      </c>
      <c r="C45" s="1" t="s">
        <v>392</v>
      </c>
      <c r="D45" s="1">
        <v>499451.0</v>
      </c>
      <c r="E45" s="1">
        <v>115908.0</v>
      </c>
      <c r="F45" s="1" t="s">
        <v>393</v>
      </c>
    </row>
    <row r="46" ht="15.75" customHeight="1">
      <c r="A46" s="1">
        <v>45.0</v>
      </c>
      <c r="B46" s="1" t="s">
        <v>394</v>
      </c>
      <c r="C46" s="1" t="s">
        <v>395</v>
      </c>
      <c r="D46" s="1">
        <v>497631.0</v>
      </c>
      <c r="E46" s="1">
        <v>114062.0</v>
      </c>
      <c r="F46" s="1" t="s">
        <v>396</v>
      </c>
    </row>
    <row r="47" ht="15.75" customHeight="1">
      <c r="A47" s="1">
        <v>46.0</v>
      </c>
      <c r="B47" s="1" t="s">
        <v>140</v>
      </c>
      <c r="C47" s="1" t="s">
        <v>397</v>
      </c>
      <c r="D47" s="1">
        <v>498917.0</v>
      </c>
      <c r="E47" s="1">
        <v>108852.0</v>
      </c>
      <c r="F47" s="1" t="s">
        <v>398</v>
      </c>
    </row>
    <row r="48" ht="15.75" customHeight="1">
      <c r="A48" s="1">
        <v>47.0</v>
      </c>
      <c r="B48" s="1" t="s">
        <v>143</v>
      </c>
      <c r="C48" s="1" t="s">
        <v>399</v>
      </c>
      <c r="D48" s="1">
        <v>494542.0</v>
      </c>
      <c r="E48" s="1">
        <v>110773.0</v>
      </c>
      <c r="F48" s="1" t="s">
        <v>400</v>
      </c>
    </row>
    <row r="49" ht="15.75" customHeight="1">
      <c r="A49" s="1">
        <v>48.0</v>
      </c>
      <c r="B49" s="1" t="s">
        <v>146</v>
      </c>
      <c r="C49" s="1" t="s">
        <v>401</v>
      </c>
      <c r="D49" s="1">
        <v>494528.0</v>
      </c>
      <c r="E49" s="1">
        <v>11078.0</v>
      </c>
      <c r="F49" s="1" t="s">
        <v>402</v>
      </c>
    </row>
    <row r="50" ht="15.75" customHeight="1">
      <c r="A50" s="1">
        <v>49.0</v>
      </c>
      <c r="B50" s="1" t="s">
        <v>149</v>
      </c>
      <c r="C50" s="1" t="s">
        <v>403</v>
      </c>
      <c r="D50" s="1">
        <v>48765.0</v>
      </c>
      <c r="E50" s="1">
        <v>114257.0</v>
      </c>
      <c r="F50" s="1" t="s">
        <v>404</v>
      </c>
    </row>
    <row r="51" ht="15.75" customHeight="1">
      <c r="A51" s="1">
        <v>50.0</v>
      </c>
      <c r="B51" s="1" t="s">
        <v>405</v>
      </c>
      <c r="C51" s="1" t="s">
        <v>406</v>
      </c>
      <c r="D51" s="1">
        <v>482188.0</v>
      </c>
      <c r="E51" s="1">
        <v>116247.0</v>
      </c>
      <c r="F51" s="1" t="s">
        <v>407</v>
      </c>
    </row>
    <row r="52" ht="15.75" customHeight="1">
      <c r="A52" s="1">
        <v>51.0</v>
      </c>
      <c r="B52" s="1" t="s">
        <v>155</v>
      </c>
      <c r="C52" s="1" t="s">
        <v>408</v>
      </c>
      <c r="D52" s="1">
        <v>48174.0</v>
      </c>
      <c r="E52" s="1">
        <v>11546.0</v>
      </c>
      <c r="F52" s="1" t="s">
        <v>409</v>
      </c>
    </row>
    <row r="53" ht="15.75" customHeight="1">
      <c r="A53" s="1">
        <v>52.0</v>
      </c>
      <c r="B53" s="1" t="s">
        <v>158</v>
      </c>
      <c r="C53" s="1" t="s">
        <v>410</v>
      </c>
      <c r="D53" s="1">
        <v>4815.0</v>
      </c>
      <c r="E53" s="1">
        <v>1158.0</v>
      </c>
      <c r="F53" s="1" t="s">
        <v>411</v>
      </c>
    </row>
    <row r="54" ht="15.75" customHeight="1">
      <c r="A54" s="1">
        <v>53.0</v>
      </c>
      <c r="B54" s="1" t="s">
        <v>161</v>
      </c>
      <c r="C54" s="1" t="s">
        <v>412</v>
      </c>
      <c r="D54" s="1">
        <v>481312.0</v>
      </c>
      <c r="E54" s="1">
        <v>115497.0</v>
      </c>
      <c r="F54" s="1" t="s">
        <v>413</v>
      </c>
    </row>
    <row r="55" ht="15.75" customHeight="1">
      <c r="A55" s="1">
        <v>54.0</v>
      </c>
      <c r="B55" s="1" t="s">
        <v>164</v>
      </c>
      <c r="C55" s="1" t="s">
        <v>414</v>
      </c>
      <c r="D55" s="1">
        <v>475576.0</v>
      </c>
      <c r="E55" s="1">
        <v>107498.0</v>
      </c>
      <c r="F55" s="1" t="s">
        <v>415</v>
      </c>
    </row>
    <row r="56" ht="15.75" customHeight="1">
      <c r="A56" s="1">
        <v>55.0</v>
      </c>
      <c r="B56" s="1" t="s">
        <v>167</v>
      </c>
      <c r="C56" s="1" t="s">
        <v>416</v>
      </c>
      <c r="D56" s="1">
        <v>476514.0</v>
      </c>
      <c r="E56" s="1">
        <v>9478.0</v>
      </c>
      <c r="F56" s="1" t="s">
        <v>417</v>
      </c>
    </row>
    <row r="57" ht="15.75" customHeight="1">
      <c r="A57" s="1">
        <v>56.0</v>
      </c>
      <c r="B57" s="1" t="s">
        <v>170</v>
      </c>
      <c r="C57" s="1" t="s">
        <v>418</v>
      </c>
      <c r="D57" s="1">
        <v>484011.0</v>
      </c>
      <c r="E57" s="1">
        <v>99876.0</v>
      </c>
      <c r="F57" s="1" t="s">
        <v>419</v>
      </c>
    </row>
    <row r="58" ht="15.75" customHeight="1">
      <c r="A58" s="1">
        <v>57.0</v>
      </c>
      <c r="B58" s="1" t="s">
        <v>173</v>
      </c>
      <c r="C58" s="1" t="s">
        <v>420</v>
      </c>
      <c r="D58" s="1">
        <v>487904.0</v>
      </c>
      <c r="E58" s="1">
        <v>92183.0</v>
      </c>
      <c r="F58" s="1" t="s">
        <v>421</v>
      </c>
    </row>
    <row r="59" ht="15.75" customHeight="1">
      <c r="A59" s="1">
        <v>58.0</v>
      </c>
      <c r="B59" s="1" t="s">
        <v>422</v>
      </c>
      <c r="C59" s="1" t="s">
        <v>422</v>
      </c>
      <c r="D59" s="1">
        <v>494106.0</v>
      </c>
      <c r="E59" s="1">
        <v>87151.0</v>
      </c>
      <c r="F59" s="1" t="s">
        <v>423</v>
      </c>
    </row>
    <row r="60" ht="15.75" customHeight="1">
      <c r="A60" s="1">
        <v>59.0</v>
      </c>
      <c r="B60" s="1" t="s">
        <v>178</v>
      </c>
      <c r="C60" s="1" t="s">
        <v>424</v>
      </c>
      <c r="D60" s="1">
        <v>494875.0</v>
      </c>
      <c r="E60" s="1">
        <v>8466.0</v>
      </c>
      <c r="F60" s="1" t="s">
        <v>425</v>
      </c>
    </row>
    <row r="61" ht="15.75" customHeight="1">
      <c r="A61" s="1">
        <v>60.0</v>
      </c>
      <c r="B61" s="1" t="s">
        <v>181</v>
      </c>
      <c r="C61" s="1" t="s">
        <v>426</v>
      </c>
      <c r="D61" s="1">
        <v>497913.0</v>
      </c>
      <c r="E61" s="1">
        <v>99534.0</v>
      </c>
      <c r="F61" s="1" t="s">
        <v>427</v>
      </c>
    </row>
    <row r="62" ht="15.75" customHeight="1">
      <c r="A62" s="1">
        <v>61.0</v>
      </c>
      <c r="B62" s="1" t="s">
        <v>428</v>
      </c>
      <c r="C62" s="1" t="s">
        <v>429</v>
      </c>
      <c r="D62" s="1">
        <v>481275.0</v>
      </c>
      <c r="E62" s="1">
        <v>82364.0</v>
      </c>
      <c r="F62" s="1" t="s">
        <v>430</v>
      </c>
    </row>
    <row r="63" ht="15.75" customHeight="1">
      <c r="A63" s="1">
        <v>62.0</v>
      </c>
      <c r="B63" s="1" t="s">
        <v>187</v>
      </c>
      <c r="C63" s="1" t="s">
        <v>431</v>
      </c>
      <c r="D63" s="1">
        <v>507753.0</v>
      </c>
      <c r="E63" s="1">
        <v>60839.0</v>
      </c>
      <c r="F63" s="1" t="s">
        <v>432</v>
      </c>
    </row>
    <row r="64" ht="15.75" customHeight="1">
      <c r="A64" s="1">
        <v>63.0</v>
      </c>
      <c r="B64" s="1" t="s">
        <v>190</v>
      </c>
      <c r="C64" s="1" t="s">
        <v>433</v>
      </c>
      <c r="D64" s="1">
        <v>50776.0</v>
      </c>
      <c r="E64" s="1">
        <v>60839.0</v>
      </c>
      <c r="F64" s="1" t="s">
        <v>434</v>
      </c>
    </row>
    <row r="65" ht="15.75" customHeight="1">
      <c r="A65" s="1">
        <v>64.0</v>
      </c>
      <c r="B65" s="1" t="s">
        <v>193</v>
      </c>
      <c r="C65" s="1" t="s">
        <v>435</v>
      </c>
      <c r="D65" s="1">
        <v>515281.0</v>
      </c>
      <c r="E65" s="1">
        <v>115487.0</v>
      </c>
      <c r="F65" s="1" t="s">
        <v>436</v>
      </c>
    </row>
    <row r="66" ht="15.75" customHeight="1">
      <c r="A66" s="1">
        <v>65.0</v>
      </c>
      <c r="B66" s="1" t="s">
        <v>437</v>
      </c>
      <c r="C66" s="1" t="s">
        <v>438</v>
      </c>
      <c r="D66" s="1">
        <v>518349.0</v>
      </c>
      <c r="E66" s="1">
        <v>122424.0</v>
      </c>
      <c r="F66" s="1" t="s">
        <v>439</v>
      </c>
    </row>
    <row r="67" ht="15.75" customHeight="1">
      <c r="A67" s="1">
        <v>66.0</v>
      </c>
      <c r="B67" s="1" t="s">
        <v>440</v>
      </c>
      <c r="C67" s="1" t="s">
        <v>441</v>
      </c>
      <c r="D67" s="1">
        <v>518367.0</v>
      </c>
      <c r="E67" s="1">
        <v>122428.0</v>
      </c>
      <c r="F67" s="1" t="s">
        <v>442</v>
      </c>
    </row>
    <row r="68" ht="15.75" customHeight="1">
      <c r="A68" s="1">
        <v>67.0</v>
      </c>
      <c r="B68" s="1" t="s">
        <v>202</v>
      </c>
      <c r="C68" s="1" t="s">
        <v>443</v>
      </c>
      <c r="D68" s="1">
        <v>518661.0</v>
      </c>
      <c r="E68" s="1">
        <v>126477.0</v>
      </c>
      <c r="F68" s="1" t="s">
        <v>444</v>
      </c>
    </row>
    <row r="69" ht="15.75" customHeight="1">
      <c r="A69" s="1">
        <v>68.0</v>
      </c>
      <c r="B69" s="1" t="s">
        <v>205</v>
      </c>
      <c r="C69" s="1" t="s">
        <v>445</v>
      </c>
      <c r="D69" s="1">
        <v>513393.0</v>
      </c>
      <c r="E69" s="1">
        <v>123747.0</v>
      </c>
      <c r="F69" s="1" t="s">
        <v>446</v>
      </c>
    </row>
    <row r="70" ht="15.75" customHeight="1">
      <c r="A70" s="1">
        <v>69.0</v>
      </c>
      <c r="B70" s="1" t="s">
        <v>208</v>
      </c>
      <c r="C70" s="1" t="s">
        <v>447</v>
      </c>
      <c r="D70" s="1">
        <v>513388.0</v>
      </c>
      <c r="E70" s="1">
        <v>123723.0</v>
      </c>
      <c r="F70" s="1" t="s">
        <v>210</v>
      </c>
    </row>
    <row r="71" ht="15.75" customHeight="1">
      <c r="A71" s="1">
        <v>70.0</v>
      </c>
      <c r="B71" s="1" t="s">
        <v>448</v>
      </c>
      <c r="C71" s="1" t="s">
        <v>449</v>
      </c>
      <c r="D71" s="1">
        <v>513128.0</v>
      </c>
      <c r="E71" s="1">
        <v>124134.0</v>
      </c>
      <c r="F71" s="1" t="s">
        <v>450</v>
      </c>
    </row>
    <row r="72" ht="15.75" customHeight="1">
      <c r="A72" s="1">
        <v>71.0</v>
      </c>
      <c r="B72" s="1" t="s">
        <v>451</v>
      </c>
      <c r="C72" s="1" t="s">
        <v>452</v>
      </c>
      <c r="D72" s="1">
        <v>511642.0</v>
      </c>
      <c r="E72" s="1">
        <v>134827.0</v>
      </c>
      <c r="F72" s="1" t="s">
        <v>453</v>
      </c>
    </row>
    <row r="73" ht="15.75" customHeight="1">
      <c r="A73" s="1">
        <v>72.0</v>
      </c>
      <c r="B73" s="1" t="s">
        <v>217</v>
      </c>
      <c r="C73" s="1" t="s">
        <v>454</v>
      </c>
      <c r="D73" s="1">
        <v>523948.0</v>
      </c>
      <c r="E73" s="1">
        <v>130644.0</v>
      </c>
      <c r="F73" s="1" t="s">
        <v>455</v>
      </c>
    </row>
    <row r="74" ht="15.75" customHeight="1">
      <c r="A74" s="1">
        <v>73.0</v>
      </c>
      <c r="B74" s="1" t="s">
        <v>456</v>
      </c>
      <c r="C74" s="1" t="s">
        <v>457</v>
      </c>
      <c r="D74" s="1">
        <v>523969.0</v>
      </c>
      <c r="E74" s="1">
        <v>130586.0</v>
      </c>
      <c r="F74" s="1" t="s">
        <v>458</v>
      </c>
    </row>
    <row r="75" ht="15.75" customHeight="1">
      <c r="A75" s="1">
        <v>74.0</v>
      </c>
      <c r="B75" s="1" t="s">
        <v>223</v>
      </c>
      <c r="C75" s="1" t="s">
        <v>459</v>
      </c>
      <c r="D75" s="1">
        <v>524039.0</v>
      </c>
      <c r="E75" s="1">
        <v>130682.0</v>
      </c>
      <c r="F75" s="1" t="s">
        <v>460</v>
      </c>
    </row>
    <row r="76" ht="15.75" customHeight="1">
      <c r="A76" s="1">
        <v>75.0</v>
      </c>
      <c r="B76" s="1" t="s">
        <v>461</v>
      </c>
      <c r="C76" s="1" t="s">
        <v>462</v>
      </c>
      <c r="D76" s="1">
        <v>524731.0</v>
      </c>
      <c r="E76" s="1">
        <v>13403.0</v>
      </c>
      <c r="F76" s="1" t="s">
        <v>463</v>
      </c>
    </row>
    <row r="77" ht="15.75" customHeight="1">
      <c r="A77" s="1">
        <v>76.0</v>
      </c>
      <c r="B77" s="1" t="s">
        <v>229</v>
      </c>
      <c r="C77" s="1" t="s">
        <v>464</v>
      </c>
      <c r="D77" s="1">
        <v>525076.0</v>
      </c>
      <c r="E77" s="1">
        <v>133904.0</v>
      </c>
      <c r="F77" s="1" t="s">
        <v>465</v>
      </c>
    </row>
    <row r="78" ht="15.75" customHeight="1">
      <c r="A78" s="1">
        <v>77.0</v>
      </c>
      <c r="B78" s="1" t="s">
        <v>232</v>
      </c>
      <c r="C78" s="1" t="s">
        <v>466</v>
      </c>
      <c r="D78" s="1">
        <v>525163.0</v>
      </c>
      <c r="E78" s="1">
        <v>133777.0</v>
      </c>
      <c r="F78" s="1" t="s">
        <v>234</v>
      </c>
    </row>
    <row r="79" ht="15.75" customHeight="1">
      <c r="A79" s="1">
        <v>78.0</v>
      </c>
      <c r="B79" s="1" t="s">
        <v>235</v>
      </c>
      <c r="C79" s="1" t="s">
        <v>467</v>
      </c>
      <c r="D79" s="1">
        <v>525114.0</v>
      </c>
      <c r="E79" s="1">
        <v>13439.0</v>
      </c>
      <c r="F79" s="1" t="s">
        <v>468</v>
      </c>
    </row>
    <row r="80" ht="15.75" customHeight="1">
      <c r="A80" s="1">
        <v>79.0</v>
      </c>
      <c r="B80" s="1" t="s">
        <v>238</v>
      </c>
      <c r="C80" s="1" t="s">
        <v>469</v>
      </c>
      <c r="D80" s="1">
        <v>525045.0</v>
      </c>
      <c r="E80" s="1">
        <v>134408.0</v>
      </c>
      <c r="F80" s="1" t="s">
        <v>470</v>
      </c>
    </row>
    <row r="81" ht="15.75" customHeight="1">
      <c r="A81" s="1">
        <v>80.0</v>
      </c>
      <c r="B81" s="1" t="s">
        <v>241</v>
      </c>
      <c r="C81" s="1" t="s">
        <v>471</v>
      </c>
      <c r="D81" s="1">
        <v>53125.0</v>
      </c>
      <c r="E81" s="1">
        <v>13093.0</v>
      </c>
      <c r="F81" s="1" t="s">
        <v>472</v>
      </c>
    </row>
    <row r="82" ht="15.75" customHeight="1">
      <c r="A82" s="1">
        <v>81.0</v>
      </c>
      <c r="B82" s="1" t="s">
        <v>244</v>
      </c>
      <c r="C82" s="1" t="s">
        <v>473</v>
      </c>
      <c r="D82" s="1">
        <v>530913.0</v>
      </c>
      <c r="E82" s="1">
        <v>129084.0</v>
      </c>
      <c r="F82" s="1" t="s">
        <v>474</v>
      </c>
    </row>
    <row r="83" ht="15.75" customHeight="1">
      <c r="A83" s="1">
        <v>82.0</v>
      </c>
      <c r="B83" s="1" t="s">
        <v>475</v>
      </c>
      <c r="C83" s="1" t="s">
        <v>476</v>
      </c>
      <c r="D83" s="1">
        <v>535211.0</v>
      </c>
      <c r="E83" s="1">
        <v>126801.0</v>
      </c>
      <c r="F83" s="1" t="s">
        <v>477</v>
      </c>
    </row>
    <row r="84" ht="15.75" customHeight="1">
      <c r="A84" s="1">
        <v>83.0</v>
      </c>
      <c r="B84" s="1" t="s">
        <v>250</v>
      </c>
      <c r="C84" s="1" t="s">
        <v>478</v>
      </c>
      <c r="D84" s="1">
        <v>540865.0</v>
      </c>
      <c r="E84" s="1">
        <v>121095.0</v>
      </c>
      <c r="F84" s="1" t="s">
        <v>479</v>
      </c>
    </row>
    <row r="85" ht="15.75" customHeight="1">
      <c r="A85" s="1">
        <v>84.0</v>
      </c>
      <c r="B85" s="1" t="s">
        <v>253</v>
      </c>
      <c r="C85" s="1" t="s">
        <v>480</v>
      </c>
      <c r="D85" s="1">
        <v>543996.0</v>
      </c>
      <c r="E85" s="1">
        <v>124539.0</v>
      </c>
      <c r="F85" s="1" t="s">
        <v>481</v>
      </c>
    </row>
    <row r="86" ht="15.75" customHeight="1">
      <c r="A86" s="1">
        <v>85.0</v>
      </c>
      <c r="B86" s="1" t="s">
        <v>256</v>
      </c>
      <c r="C86" s="1" t="s">
        <v>482</v>
      </c>
      <c r="D86" s="1">
        <v>543126.0</v>
      </c>
      <c r="E86" s="1">
        <v>130929.0</v>
      </c>
      <c r="F86" s="1" t="s">
        <v>258</v>
      </c>
    </row>
    <row r="87" ht="15.75" customHeight="1">
      <c r="A87" s="1">
        <v>86.0</v>
      </c>
      <c r="B87" s="1" t="s">
        <v>259</v>
      </c>
      <c r="C87" s="1" t="s">
        <v>483</v>
      </c>
      <c r="D87" s="1">
        <v>540924.0</v>
      </c>
      <c r="E87" s="1">
        <v>134022.0</v>
      </c>
      <c r="F87" s="1" t="s">
        <v>484</v>
      </c>
    </row>
    <row r="88" ht="15.75" customHeight="1">
      <c r="A88" s="1">
        <v>87.0</v>
      </c>
      <c r="B88" s="1" t="s">
        <v>262</v>
      </c>
      <c r="C88" s="1" t="s">
        <v>485</v>
      </c>
      <c r="D88" s="1">
        <v>545406.0</v>
      </c>
      <c r="E88" s="1">
        <v>135747.0</v>
      </c>
      <c r="F88" s="1" t="s">
        <v>486</v>
      </c>
    </row>
    <row r="89" ht="15.75" customHeight="1">
      <c r="A89" s="1">
        <v>88.0</v>
      </c>
      <c r="B89" s="1" t="s">
        <v>487</v>
      </c>
      <c r="C89" s="1" t="s">
        <v>488</v>
      </c>
      <c r="D89" s="1">
        <v>540536.0</v>
      </c>
      <c r="E89" s="1">
        <v>142743.0</v>
      </c>
      <c r="F89" s="1" t="s">
        <v>489</v>
      </c>
    </row>
    <row r="90" ht="15.75" customHeight="1">
      <c r="A90" s="1">
        <v>89.0</v>
      </c>
      <c r="B90" s="1" t="s">
        <v>268</v>
      </c>
      <c r="C90" s="1" t="s">
        <v>490</v>
      </c>
      <c r="D90" s="1">
        <v>538923.0</v>
      </c>
      <c r="E90" s="1">
        <v>114628.0</v>
      </c>
      <c r="F90" s="1" t="s">
        <v>491</v>
      </c>
    </row>
    <row r="91" ht="15.75" customHeight="1">
      <c r="A91" s="1">
        <v>90.0</v>
      </c>
      <c r="B91" s="1" t="s">
        <v>492</v>
      </c>
      <c r="C91" s="1" t="s">
        <v>492</v>
      </c>
      <c r="D91" s="1">
        <v>536294.0</v>
      </c>
      <c r="E91" s="1">
        <v>114154.0</v>
      </c>
      <c r="F91" s="1" t="s">
        <v>493</v>
      </c>
    </row>
    <row r="92" ht="15.75" customHeight="1">
      <c r="A92" s="1">
        <v>91.0</v>
      </c>
      <c r="B92" s="1" t="s">
        <v>273</v>
      </c>
      <c r="C92" s="1" t="s">
        <v>494</v>
      </c>
      <c r="D92" s="1">
        <v>538683.0</v>
      </c>
      <c r="E92" s="1">
        <v>106873.0</v>
      </c>
      <c r="F92" s="1" t="s">
        <v>495</v>
      </c>
    </row>
    <row r="93" ht="15.75" customHeight="1">
      <c r="A93" s="1">
        <v>92.0</v>
      </c>
      <c r="B93" s="1" t="s">
        <v>276</v>
      </c>
      <c r="C93" s="1" t="s">
        <v>496</v>
      </c>
      <c r="D93" s="1">
        <v>535496.0</v>
      </c>
      <c r="E93" s="1">
        <v>99882.0</v>
      </c>
      <c r="F93" s="1" t="s">
        <v>497</v>
      </c>
    </row>
    <row r="94" ht="15.75" customHeight="1">
      <c r="A94" s="1">
        <v>93.0</v>
      </c>
      <c r="B94" s="1" t="s">
        <v>279</v>
      </c>
      <c r="C94" s="1" t="s">
        <v>498</v>
      </c>
      <c r="D94" s="1">
        <v>535411.0</v>
      </c>
      <c r="E94" s="1">
        <v>99847.0</v>
      </c>
      <c r="F94" s="1" t="s">
        <v>499</v>
      </c>
    </row>
    <row r="95" ht="15.75" customHeight="1">
      <c r="A95" s="1">
        <v>94.0</v>
      </c>
      <c r="B95" s="1" t="s">
        <v>282</v>
      </c>
      <c r="C95" s="1" t="s">
        <v>500</v>
      </c>
      <c r="D95" s="1">
        <v>535462.0</v>
      </c>
      <c r="E95" s="1">
        <v>99667.0</v>
      </c>
      <c r="F95" s="1" t="s">
        <v>501</v>
      </c>
    </row>
    <row r="96" ht="15.75" customHeight="1">
      <c r="A96" s="1">
        <v>95.0</v>
      </c>
      <c r="B96" s="1" t="s">
        <v>285</v>
      </c>
      <c r="C96" s="1" t="s">
        <v>502</v>
      </c>
      <c r="D96" s="1">
        <v>535503.0</v>
      </c>
      <c r="E96" s="1">
        <v>99668.0</v>
      </c>
      <c r="F96" s="1" t="s">
        <v>503</v>
      </c>
    </row>
    <row r="97" ht="15.75" customHeight="1">
      <c r="A97" s="1">
        <v>96.0</v>
      </c>
      <c r="B97" s="1" t="s">
        <v>288</v>
      </c>
      <c r="C97" s="1" t="s">
        <v>504</v>
      </c>
      <c r="D97" s="1">
        <v>543215.0</v>
      </c>
      <c r="E97" s="1">
        <v>10131.0</v>
      </c>
      <c r="F97" s="1" t="s">
        <v>505</v>
      </c>
    </row>
    <row r="98" ht="15.75" customHeight="1">
      <c r="A98" s="1">
        <v>97.0</v>
      </c>
      <c r="B98" s="1" t="s">
        <v>291</v>
      </c>
      <c r="C98" s="1" t="s">
        <v>506</v>
      </c>
      <c r="D98" s="1">
        <v>543233.0</v>
      </c>
      <c r="E98" s="1">
        <v>10139.0</v>
      </c>
      <c r="F98" s="1" t="s">
        <v>507</v>
      </c>
    </row>
    <row r="99" ht="15.75" customHeight="1">
      <c r="A99" s="1">
        <v>98.0</v>
      </c>
      <c r="B99" s="1" t="s">
        <v>294</v>
      </c>
      <c r="C99" s="1" t="s">
        <v>508</v>
      </c>
      <c r="D99" s="1">
        <v>543433.0</v>
      </c>
      <c r="E99" s="1">
        <v>101247.0</v>
      </c>
      <c r="F99" s="1" t="s">
        <v>509</v>
      </c>
    </row>
    <row r="100" ht="15.75" customHeight="1">
      <c r="A100" s="1">
        <v>99.0</v>
      </c>
      <c r="B100" s="1" t="s">
        <v>297</v>
      </c>
      <c r="C100" s="1" t="s">
        <v>510</v>
      </c>
      <c r="D100" s="1">
        <v>549063.0</v>
      </c>
      <c r="E100" s="1">
        <v>83028.0</v>
      </c>
      <c r="F100" s="1" t="s">
        <v>511</v>
      </c>
    </row>
    <row r="101" ht="15.75" customHeight="1">
      <c r="A101" s="1">
        <v>100.0</v>
      </c>
      <c r="B101" s="1" t="s">
        <v>300</v>
      </c>
      <c r="C101" s="1" t="s">
        <v>512</v>
      </c>
      <c r="D101" s="1">
        <v>521317.0</v>
      </c>
      <c r="E101" s="1">
        <v>116394.0</v>
      </c>
      <c r="F101" s="1" t="s">
        <v>513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