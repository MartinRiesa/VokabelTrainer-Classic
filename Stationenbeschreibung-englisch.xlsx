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elle3" sheetId="1" r:id="rId4"/>
    <sheet state="visible" name="Tabelle2" sheetId="2" r:id="rId5"/>
    <sheet state="visible" name="Tabelle1" sheetId="3" r:id="rId6"/>
  </sheets>
  <definedNames>
    <definedName localSheetId="0" name="ExterneDaten_2">Tabelle3!$A$1:$F$101</definedName>
    <definedName localSheetId="1" name="ExterneDaten_1">Tabelle2!$A$1:$F$101</definedName>
  </definedNames>
  <calcPr/>
</workbook>
</file>

<file path=xl/sharedStrings.xml><?xml version="1.0" encoding="utf-8"?>
<sst xmlns="http://schemas.openxmlformats.org/spreadsheetml/2006/main" count="612" uniqueCount="514">
  <si>
    <t>Nr</t>
  </si>
  <si>
    <t>Station</t>
  </si>
  <si>
    <t>Ort</t>
  </si>
  <si>
    <t>Latitude</t>
  </si>
  <si>
    <t>Longitude</t>
  </si>
  <si>
    <t>Erklärung</t>
  </si>
  <si>
    <t>Main Tower</t>
  </si>
  <si>
    <t>Frankfurt – Main Tower</t>
  </si>
  <si>
    <t>Der Main Tower in Frankfurt am Main ist ein 200 Meter hoher Wolkenkratzer mit öffentlich zugänglicher Aussichtsplattform. Das 2000 eröffnete Hochhaus prägt mit seiner Glasfassade die Frankfurter Skyline und zählt zu den höchsten Gebäuden Deutschlands; von 198 Metern Höhe genießt man einen Rundblick über die Stadt.</t>
  </si>
  <si>
    <t>Finanzmetropole</t>
  </si>
  <si>
    <t>Frankfurt – Römer</t>
  </si>
  <si>
    <t>Frankfurt am Main zählt als Finanzmetropole zu den wichtigsten Bankenstandorten Europas. Sitz der Europäischen Zentralbank und zahlreicher Großbanken, verleiht die Skyline mit den meisten Wolkenkratzern Deutschlands der Stadt den Spitznamen „Mainhattan“.</t>
  </si>
  <si>
    <t>Kurtradition</t>
  </si>
  <si>
    <t>Wiesbaden – Kurhaus</t>
  </si>
  <si>
    <t>Wiesbaden gilt seit dem 19. Jahrhundert als mondäne Kurstadt. Das neoklassizistische Kurhaus von 1907, Thermalquellen und weitläufige Kurparks spiegeln bis heute die historische Wellness-Kultur wider.</t>
  </si>
  <si>
    <t>Johannes Gutenberg</t>
  </si>
  <si>
    <t>Mainz – Gutenberg-Museum</t>
  </si>
  <si>
    <t>Johannes Gutenberg revolutionierte um 1450 in Mainz den Buchdruck mit beweglichen Lettern. Das Gutenberg-Museum zeigt u. a. zwei Gutenberg-Bibeln und demonstriert an historischen Pressen die Technik, die das Lesen weltweit veränderte.</t>
  </si>
  <si>
    <t>Weinfest</t>
  </si>
  <si>
    <t>Rüdesheim – Drosselgasse</t>
  </si>
  <si>
    <t>Die Drosselgasse in Rüdesheim ist eine 144 Meter lange Fachwerkgasse voller Weinstuben. Ihre Weinfeste mit Live-Musik repräsentieren die gesellige Rheingauer Weinkultur.</t>
  </si>
  <si>
    <t>Helene Fischer</t>
  </si>
  <si>
    <t>Wöllstein – Geburtsort</t>
  </si>
  <si>
    <t>Helene Fischer (*1984) wuchs in Wöllstein auf und wurde zur erfolgreichsten deutschen Schlagersängerin. Hits wie „Atemlos durch die Nacht“ und zahlreiche Auszeichnungen prägen ihre Karriere.</t>
  </si>
  <si>
    <t>Loreley</t>
  </si>
  <si>
    <t>St. Goar – Loreleyfelsen</t>
  </si>
  <si>
    <t>Der 132 Meter hohe Loreley-Felsen am Rhein ist sagenumwoben: Eine Nixe soll mit ihrem Gesang Schiffer ins Verderben gelockt haben. Heute ist der Aussichtspunkt Teil des UNESCO-Welterbes Oberes Mittelrheintal.</t>
  </si>
  <si>
    <t>Weinbau</t>
  </si>
  <si>
    <t>Boppard – Rheinschleife</t>
  </si>
  <si>
    <t>An der Rheinschleife bei Boppard wachsen auf steilen Schieferhängen Riesling-Reben. Der Bopparder Hamm dokumentiert seit Jahrhunderten die Weinbautradition des Mittelrheins.</t>
  </si>
  <si>
    <t>Deutsches Eck</t>
  </si>
  <si>
    <t>Koblenz – Deutsches Eck</t>
  </si>
  <si>
    <t>Am Deutschen Eck fließen Mosel und Rhein zusammen. Das Reiterstandbild Kaiser Wilhelms I. (1897) erinnert an die Reichsgründung und wurde nach 1945 zum Symbol der deutschen Einheit.</t>
  </si>
  <si>
    <t>Autobahn Erlebnis</t>
  </si>
  <si>
    <t>Nürburgring – GP-Strecke</t>
  </si>
  <si>
    <t>Deutschlands Autobahnen sind für fehlende Tempolimits bekannt. Auf der Nordschleife des Nürburgrings können Fahrer Hochgeschwindigkeit legal erleben – ein kontrolliertes Pendant zum Autobahnrausch.</t>
  </si>
  <si>
    <t>Beethoven</t>
  </si>
  <si>
    <t>Bonn – Beethoven-Haus</t>
  </si>
  <si>
    <t>Ludwig van Beethoven (1770–1827) wurde in Bonn geboren. Sein Geburtshaus bewahrt Originalinstrumente und Handschriften des Komponisten, dessen Werke die klassische Musik bis heute prägen.</t>
  </si>
  <si>
    <t>Kölner Karneval</t>
  </si>
  <si>
    <t>Köln – Alter Markt</t>
  </si>
  <si>
    <t>Der Kölner Karneval, seit 1823 organisiert, verwandelt die Stadt vom 11. 11. bis Aschermittwoch in ein buntes Volksfest. Höhepunkt ist der Rosenmontagszug mit Hunderttausenden kostümierten Jecken.</t>
  </si>
  <si>
    <t>Konrad Adenauer</t>
  </si>
  <si>
    <t>Köln – Adenauer-Haus</t>
  </si>
  <si>
    <t>Konrad Adenauer (1876–1967) war Kölner Oberbürgermeister und erster Bundeskanzler der Bundesrepublik. Sein Wohnhaus in Rhöndorf erzählt von seinem Einsatz für Wiederaufbau und Westbindung.</t>
  </si>
  <si>
    <t>Neandertaler Fund</t>
  </si>
  <si>
    <t>Mettmann – Neanderthal Museum</t>
  </si>
  <si>
    <t>Der 1856 gefundene Neandertaler-Schädel revolutionierte das Verständnis menschlicher Evolution. Das Neanderthal Museum veranschaulicht die Geschichte unserer fossilen Verwandten.</t>
  </si>
  <si>
    <t>Rheinmetropole</t>
  </si>
  <si>
    <t>Düsseldorf – Rheinturm</t>
  </si>
  <si>
    <t>Düsseldorf verbindet Altstadt, Mode- und Messekultur mit moderner Architektur im Medienhafen. Der Rheinturm bietet einen Panoramablick auf die Rheinmetropole und ihre Kunst- und Shopping-Szene.</t>
  </si>
  <si>
    <t>Stahl &amp; Kultur</t>
  </si>
  <si>
    <t>Duisburg – Innenhafen</t>
  </si>
  <si>
    <t>Der Duisburger Innenhafen, einst Speicher- und Handelshafen, wurde zum Kultur- und Büroquartier umgestaltet. Restaurierte Speicher und Museen zeigen den erfolgreichen Strukturwandel von Stahl zu Kultur.</t>
  </si>
  <si>
    <t>Ruhrindustrie</t>
  </si>
  <si>
    <t>Essen – Zeche Zollverein</t>
  </si>
  <si>
    <t>Die stillgelegte Zeche Zollverein, ein Bauhaus-Industrie-Ensemble, ist UNESCO-Welterbe. Ausstellungen und Events lassen die Bergbaugeschichte des Ruhrgebiets lebendig werden.</t>
  </si>
  <si>
    <t>UNESCO Zollverein</t>
  </si>
  <si>
    <t>Essen – Kokerei Zollverein</t>
  </si>
  <si>
    <t>Die Kokerei Zollverein verarbeitete bis 1993 Kohle zu Koks und ist heute Teil des Weltkulturerbes. Besucher erkunden Fördertürme, Öfen und Aussichtsplattformen eines herausragenden Industriedenkmals.</t>
  </si>
  <si>
    <t>Fußball Bundesliga</t>
  </si>
  <si>
    <t>Dortmund – Signal Iduna Park</t>
  </si>
  <si>
    <t>Borussia Dortmunds Stadion mit der legendären „Gelben Wand“ steht für die Fankultur der Fußball-Bundesliga, die seit 1963 Millionen begeistert.</t>
  </si>
  <si>
    <t>Westfälische Fachwerkstadt</t>
  </si>
  <si>
    <t>Münster – Prinzipalmarkt</t>
  </si>
  <si>
    <t>Münsters Prinzipalmarkt mit Giebelhäusern und Arkaden, Rathaus und Lambertikirche vereint mittelalterliche Baukunst und Wiederaufbau. Fahrräder und Friedensgeschichte prägen das Stadtbild.</t>
  </si>
  <si>
    <t>Teutoburger Wald</t>
  </si>
  <si>
    <t>Bielefeld – Sparrenburg</t>
  </si>
  <si>
    <t>Die mittelalterliche Sparrenburg überragt Bielefeld am Rand des Teutoburger Waldes, der durch die Varusschlacht (9 n. Chr.) historisch bekannt ist.</t>
  </si>
  <si>
    <t>Moderne Stadt</t>
  </si>
  <si>
    <t>Hannover – Neues Rathaus</t>
  </si>
  <si>
    <t>Hannovers wilhelminisches Neues Rathaus (1913) symbolisiert den Wiederaufbau der Stadt, die heute Messestandort und grüne Großstadt mit den Herrenhäuser Gärten ist.</t>
  </si>
  <si>
    <t>Hannah Arendt</t>
  </si>
  <si>
    <t>Hannover – H.-Arendt-Platz</t>
  </si>
  <si>
    <t>Die politische Theoretikerin Hannah Arendt (1906–1975) wurde in Hannover geboren. Der Hannah-Arendt-Platz mahnt an Demokratie, Freiheit und Verantwortung.</t>
  </si>
  <si>
    <t>Expo 2000</t>
  </si>
  <si>
    <t>Hannover – Expo-Park</t>
  </si>
  <si>
    <t>Die Expo 2000 war die erste Weltausstellung in Deutschland. Pavillons und Neubauten im Expo-Park erinnern an innovative Konzepte zu Mensch, Natur und Technik.</t>
  </si>
  <si>
    <t>Schloss Herrenhausen</t>
  </si>
  <si>
    <t>Hannover – Herrenhausen</t>
  </si>
  <si>
    <t>Das rekonstruierte Schloss Herrenhausen liegt inmitten der berühmten barocken Herrenhäuser Gärten mit Wasserspielen und Botanischem Berggarten.</t>
  </si>
  <si>
    <t>Braunschweig – Schloss</t>
  </si>
  <si>
    <t>Die Fassade des im Krieg zerstörten Welfenschlosses wurde 2007 vor ein modernes Einkaufs- und Kulturzentrum gesetzt – ein Beispiel für Tradition im neuen Gewand.</t>
  </si>
  <si>
    <t>Planetarium</t>
  </si>
  <si>
    <t>Wolfsburg – Phaeno</t>
  </si>
  <si>
    <t>Das von Zaha Hadid entworfene Phaeno Science Center inszeniert Naturphänomene interaktiv. Es ergänzt Wolfsburgs Autostadt und die VW-Historie um Wissenschaftserlebnisse.</t>
  </si>
  <si>
    <t>Volkswagen-Gründung</t>
  </si>
  <si>
    <t>Wolfsburg – Autostadt</t>
  </si>
  <si>
    <t>1938 als Standort für den VW-Käfer gegründet, erzählt Wolfsburgs Autostadt mit Pavillons und Oldtimern die Geschichte des Konzerns und des Automobils.</t>
  </si>
  <si>
    <t>Harz &amp; Bergbau</t>
  </si>
  <si>
    <t>Goslar – Altstadt</t>
  </si>
  <si>
    <t>Die Fachwerk-Altstadt Goslars und das Erzbergwerk Rammelsberg bilden ein gemeinsames UNESCO-Welterbe: ein Jahrtausend Harzer Erzbergbau trifft mittelalterliche Kaiserstadt.</t>
  </si>
  <si>
    <t>Universitätsstadt</t>
  </si>
  <si>
    <t>Göttingen – Gänseliesel</t>
  </si>
  <si>
    <t>Seit 1737 prägt die Universität Göttingen die Stadt. Der Gänseliesel-Brunnen gilt als „meistgeküsstes Mädchen der Welt“, denn frisch promovierte Doktoranden küssen die Statue.</t>
  </si>
  <si>
    <t>Brüder Grimm</t>
  </si>
  <si>
    <t>Kassel – Grimm-Museum</t>
  </si>
  <si>
    <t>In Kassel sammelten Jacob und Wilhelm Grimm ihre weltberühmten Märchen. Die Grimmwelt präsentiert Manuskripte und sprachwissenschaftliches Erbe.</t>
  </si>
  <si>
    <t>Documenta</t>
  </si>
  <si>
    <t>Kassel – Friedrichsplatz</t>
  </si>
  <si>
    <t>Die alle fünf Jahre stattfindende documenta macht Kassel zur Welthauptstadt zeitgenössischer Kunst und verwandelt die Stadt in ein riesiges Open-Air-Museum.</t>
  </si>
  <si>
    <t>Landgrafenkunst</t>
  </si>
  <si>
    <t>Kassel – Bergpark Wilhelmshöhe</t>
  </si>
  <si>
    <t>Europas größter Hangpark mit Herkules-Statue und barocken Wasserspielen ist UNESCO-Welterbe und Zeugnis landgräflicher Gartenkunst.</t>
  </si>
  <si>
    <t>Wartburgfest</t>
  </si>
  <si>
    <t>Eisenach – Wartburg</t>
  </si>
  <si>
    <t>1817 forderten Studenten auf der Wartburg nationale Einheit und Freiheitsrechte. Die Burg ist auch durch Luthers Bibelübersetzung berühmt.</t>
  </si>
  <si>
    <t>Lutherische Kirchenkunst</t>
  </si>
  <si>
    <t>Erfurt – Dom</t>
  </si>
  <si>
    <t>Der gotische Erfurter Dom beherbergt die Gloriosa, größte freischwingende mittelalterliche Glocke. Hier wurde Martin Luther 1507 zum Priester geweiht.</t>
  </si>
  <si>
    <t>Goethe</t>
  </si>
  <si>
    <t>Weimar – Goethe-Haus</t>
  </si>
  <si>
    <t>Goethes Wohnhaus zeigt originale Räume und Sammlungen des Dichters, der mit Schiller die Weimarer Klassik prägte.</t>
  </si>
  <si>
    <t>Hyperinflation 1923</t>
  </si>
  <si>
    <t>Weimar – DNT</t>
  </si>
  <si>
    <t>Die Geldentwertung der Weimarer Republik erreichte 1923 ihren Höhepunkt: Preise explodierten, Ersparnisse verfielen – ein Trauma deutscher Wirtschaftsgeschichte.</t>
  </si>
  <si>
    <t>Rennsteig</t>
  </si>
  <si>
    <t>Thüringer Wald – Rennsteig</t>
  </si>
  <si>
    <t>Der 170 km lange Rennsteig-Kammweg ist ältester Fernwanderweg Deutschlands und verbindet Kultur- und Naturlandschaften des Thüringer Waldes.</t>
  </si>
  <si>
    <t>Glasmacherkunst</t>
  </si>
  <si>
    <t>Lauscha – Glasbläserwerkstatt</t>
  </si>
  <si>
    <t>Lauscha gilt als Geburtsort der gläsernen Christbaumkugel. Seit 1597 pflegen Familienbetriebe hier die Kunst des Glasblasens.</t>
  </si>
  <si>
    <t>Barockschloss</t>
  </si>
  <si>
    <t>Coburg – Veste Coburg</t>
  </si>
  <si>
    <t>Die Veste Coburg, eine der größten Burgen Deutschlands, beherbergt Kunstsammlungen und war 1530 Luther-Fluchtort.</t>
  </si>
  <si>
    <t>Biertradition</t>
  </si>
  <si>
    <t>Kulmbach – Mönchshof</t>
  </si>
  <si>
    <t>Kulmbach präsentiert im Bayerischen Brauereimuseum Starkbier- und Eisbock-Tradition und feiert jährlich die Bierwoche.</t>
  </si>
  <si>
    <t>Biertradition2</t>
  </si>
  <si>
    <t>Kulmbach – Brauerei</t>
  </si>
  <si>
    <t>Fränkische Braukunst mit Reinheitsgebot: Kulmbacher Starkbiere genießen internationalen Ruf und prägen lokale Identität.</t>
  </si>
  <si>
    <t>Markgrafenkunst</t>
  </si>
  <si>
    <t>Bayreuth – Opernhaus</t>
  </si>
  <si>
    <t>Das Markgräfliche Opernhaus (1748) ist ein vollständig erhaltenes Barocktheater und UNESCO-Welterbe – ein Juwel höfischer Festkultur.</t>
  </si>
  <si>
    <t>Richard Wagner</t>
  </si>
  <si>
    <t>Bayreuth – Festspielhaus</t>
  </si>
  <si>
    <t>Das 1876 eröffnete Festspielhaus, akustisch auf Wagners Musikdramen ausgelegt, zieht Opernliebhaber aus aller Welt zu den Bayreuther Festspielen.</t>
  </si>
  <si>
    <t>Fränkische Schweiz</t>
  </si>
  <si>
    <t>Pottenstein – Teufelshöhle</t>
  </si>
  <si>
    <t>Die zerklüftete Karstlandschaft mit Tropfsteinhöhlen und Burgruinen ist seit dem 19. Jh. ein beliebtes Wander- und Klettergebiet.</t>
  </si>
  <si>
    <t>UNESCO-Altstadt</t>
  </si>
  <si>
    <t>Bamberg – Altstadt</t>
  </si>
  <si>
    <t>Bambergs sieben-hügelige Altstadt mit romanischem Dom und Rathaus in der Regnitz gilt als größtes unzerstörtes historisches Stadtbild Deutschlands.</t>
  </si>
  <si>
    <t>Weihnachtsmarkt</t>
  </si>
  <si>
    <t>Nürnberg – Hauptmarkt</t>
  </si>
  <si>
    <t>Der Nürnberger Christkindlesmarkt, seit dem 16. Jh. belegt, lockt mit Lebkuchen und Holzspielzeug jährlich zwei Millionen Besucher.</t>
  </si>
  <si>
    <t>Holocaust-Dokumentation</t>
  </si>
  <si>
    <t>Nürnberg – Memorium</t>
  </si>
  <si>
    <t>Das Memorium Nürnberger Prozesse erinnert in Saal 600 an die juristische Aufarbeitung der NS-Verbrechen und die Geburtsstunde des Völkerstrafrechts.</t>
  </si>
  <si>
    <t>Bier Reinheitsgebot</t>
  </si>
  <si>
    <t>Ingolstadt – Herzogskasten</t>
  </si>
  <si>
    <t>1516 verkündeten bayerische Herzöge in Ingolstadt das Reinheitsgebot: Bier darf nur aus Wasser, Gerste, Hopfen bestehen – älteste Lebensmittelvorschrift der Welt.</t>
  </si>
  <si>
    <t>Fußball Allianz Arena</t>
  </si>
  <si>
    <t>München – Allianz Arena</t>
  </si>
  <si>
    <t>Die 2005 eröffnete Allianz Arena mit licht­durch­lässiger Außenhaut ist Heim des FC Bayern und eines der markantesten Stadien Europas.</t>
  </si>
  <si>
    <t>Olympia 1972</t>
  </si>
  <si>
    <t>München – Olympiapark</t>
  </si>
  <si>
    <t>Die Spiele von 1972 setzten mit ihrer Zeltdach-Architektur neue Maßstäbe; das Attentat auf die israelische Mannschaft prägte die Erinnerung an das moderne Areal.</t>
  </si>
  <si>
    <t>Sophie Scholl</t>
  </si>
  <si>
    <t>München – LMU</t>
  </si>
  <si>
    <t>Sophie Scholl verteilte 1943 Flugblätter der „Weißen Rose“ an der LMU. Heute mahnen Gedenktafeln an ihren mutigen Widerstand gegen das NS-Regime.</t>
  </si>
  <si>
    <t>Oktoberfest</t>
  </si>
  <si>
    <t>München – Theresienwiese</t>
  </si>
  <si>
    <t>Seit 1810 feiert München das Oktoberfest. Riesige Bierzelte, Fahrgeschäfte und Trachten ziehen jährlich Millionen Besucher an.</t>
  </si>
  <si>
    <t>Schloss Neuschwanstein</t>
  </si>
  <si>
    <t>Schwangau – Neuschwanstein</t>
  </si>
  <si>
    <t>König Ludwigs Märchenschloss (ab 1869) verkörpert romantischen Historismus in alpiner Kulisse und diente als Vorbild für das Disney-Schloss.</t>
  </si>
  <si>
    <t>Zeppelinflug 1900</t>
  </si>
  <si>
    <t>Friedrichshafen – Zeppelin Museum</t>
  </si>
  <si>
    <t>Hier startete 1900 der erste Zeppelin der Welt. Das Museum zeigt Exponate zur Luftschiffära, darunter ein Teilstück der „Hindenburg“.</t>
  </si>
  <si>
    <t>Albert Einstein</t>
  </si>
  <si>
    <t>Ulm – Einstein-Brunnen</t>
  </si>
  <si>
    <t>Albert Einstein, 1879 in Ulm geboren, revolutionierte mit Relativitäts- und Quantentheorie die Physik. Der Brunnen erinnert an das Genie.</t>
  </si>
  <si>
    <t>Cannstatter Wasen</t>
  </si>
  <si>
    <t>Stuttgart – Wasen</t>
  </si>
  <si>
    <t>Das Cannstatter Volksfest (seit 1818) ist nach dem Oktoberfest das zweitgrößte deutsche Bier- und Volksfest und zieht jährlich rund vier Millionen Gäste an.</t>
  </si>
  <si>
    <t>Heidelberg – Schloss</t>
  </si>
  <si>
    <t>Die romantische Schlossruine über dem Neckar war Residenz der Kurfürsten. Ihre Renaissance-Fassaden und das Große Fass begeisterten schon Goethe.</t>
  </si>
  <si>
    <t>Carl Benz</t>
  </si>
  <si>
    <t>Mannheim – Carl-Benz-Haus</t>
  </si>
  <si>
    <t>Carl Benz baute 1885/86 in Mannheim den ersten praxistauglichen Motorwagen. Bertha Benz’ erste Fernfahrt bewies seine Alltagstauglichkeit.</t>
  </si>
  <si>
    <t>Barocke Stadt</t>
  </si>
  <si>
    <t>Würzburg – Residenz</t>
  </si>
  <si>
    <t>Die Würzburger Residenz (1720–1744) mit Tiepolo-Fresko und Spiegelsaal gilt als Hauptwerk des süddeutschen Barock und ist UNESCO-Welterbe.</t>
  </si>
  <si>
    <t>Schwarzwälder Kirschtorte</t>
  </si>
  <si>
    <t>Triberg – Café Schäfer</t>
  </si>
  <si>
    <t>Im Schwarzwald entstand die Sahne-Schokoladen-Kirschtorte mit Kirschwasser. Das Café Schäfer serviert sie nach historischem Rezept.</t>
  </si>
  <si>
    <t>Aachener Dom</t>
  </si>
  <si>
    <t>Aachen – Dom</t>
  </si>
  <si>
    <t>Karls Pfalzkapelle (8./9. Jh.) und gotischer Chor sind erstes deutsches UNESCO-Welterbe. Über 30 deutsche Könige wurden hier gekrönt.</t>
  </si>
  <si>
    <t>UNESCO Dombezirk</t>
  </si>
  <si>
    <t>Aachen – Dombezirk</t>
  </si>
  <si>
    <t>Der Aachener Domschatz mit Karlsschrein und Marienschrein zählt zu den bedeutendsten Kirchenschätzen Europas und ergänzt den Weltkulturerbe-Dom.</t>
  </si>
  <si>
    <t>Lutherstadt</t>
  </si>
  <si>
    <t>Eisleben – Gedenkstätten</t>
  </si>
  <si>
    <t>Luthers Geburts- und Sterbehäuser in Eisleben sind UNESCO-Welterbe und dokumentieren Leben und Wirkung des Reformators.</t>
  </si>
  <si>
    <t>Architektur­moderne</t>
  </si>
  <si>
    <t>Dessau – Meisterhäuser</t>
  </si>
  <si>
    <t>Die Meisterhäuser (1925/26) von Gropius für Bauhaus-Lehrer wie Kandinsky repräsentieren funktionale Bauhaus-Architektur im Originalzustand.</t>
  </si>
  <si>
    <t>Bauhaus-Gründung</t>
  </si>
  <si>
    <t>Dessau – Bauhaus</t>
  </si>
  <si>
    <t>Das Bauhausgebäude (1926) mit Glasfassade steht für die Verschmelzung von Kunst, Handwerk und Industrie – ein Meilenstein der Moderne.</t>
  </si>
  <si>
    <t>Reformation</t>
  </si>
  <si>
    <t>Lutherstadt Wittenberg – Schlosskirche</t>
  </si>
  <si>
    <t>Luthers 95 Thesen von 1517 an der Schlosskirche lösten die Reformation aus und veränderten Kirche und Gesellschaft nachhaltig.</t>
  </si>
  <si>
    <t>Jazzfest</t>
  </si>
  <si>
    <t>Leipzig – Moritzbastei</t>
  </si>
  <si>
    <t>Die Leipziger Jazztage (seit 1976) holen internationale Jazzgrößen in historische Spielstätten wie die unterirdische Moritzbastei.</t>
  </si>
  <si>
    <t>Johann Sebastian Bach</t>
  </si>
  <si>
    <t>Leipzig – Bach-Museum</t>
  </si>
  <si>
    <t>Bach wirkte ab 1723 als Thomaskantor in Leipzig. Das Museum zeigt Handschriften und Instrumente des Barockkomponisten.</t>
  </si>
  <si>
    <t>Völkerschlacht 1813</t>
  </si>
  <si>
    <t>Leipzig – Denkmal</t>
  </si>
  <si>
    <t>Das 91 Meter hohe Völkerschlachtdenkmal erinnert an Napoleons Niederlage in der größten Schlacht vor dem Ersten Weltkrieg.</t>
  </si>
  <si>
    <t>Meißen Porzellan</t>
  </si>
  <si>
    <t>Meißen – Porzellanmuseum</t>
  </si>
  <si>
    <t>1710 entstand in Meißen das erste europäische Hartporzellan. Das Museum zeigt Meisterstücke mit den gekreuzten Schwertern.</t>
  </si>
  <si>
    <t>Forschung &amp; Flug</t>
  </si>
  <si>
    <t>Berlin – Dt. Technikmuseum</t>
  </si>
  <si>
    <t>Das Technikmuseum präsentiert Lokomotiven, Schiffe und einen „Rosinenbomber“ auf dem Dach – Technikgeschichte zum Anfassen.</t>
  </si>
  <si>
    <t>Preußische Pracht</t>
  </si>
  <si>
    <t>Potsdam – Schloss Sanssouci</t>
  </si>
  <si>
    <t>Friedrich der Große ließ Sanssouci (1747) als Rokoko-Sommerresidenz über Weinbergterrassen erbauen; Park und Schlösser sind UNESCO-Welterbe.</t>
  </si>
  <si>
    <t>Filmgeschichte</t>
  </si>
  <si>
    <t>Potsdam – Filmpark Babelsberg</t>
  </si>
  <si>
    <t>Die Babelsberger Studios (ab 1912) sind Wiege des deutschen Films. Der Filmpark gewährt Einblicke in Kulissen, Stunts und Tricktechnik.</t>
  </si>
  <si>
    <t>Berliner Luftbrücke</t>
  </si>
  <si>
    <t>Berlin – Tempelhof</t>
  </si>
  <si>
    <t>1948/49 versorgten Rosinenbomber den blockierten Westteil der Stadt über den Flughafen Tempelhof – ein Symbol westlicher Solidarität.</t>
  </si>
  <si>
    <t>Kalter Krieg</t>
  </si>
  <si>
    <t>Berlin – Checkpoint Charlie</t>
  </si>
  <si>
    <t>Der bekannteste Berliner Grenzübergang war Schauplatz brisanter Panzerkonfrontationen zwischen USA und UdSSR im Oktober 1961.</t>
  </si>
  <si>
    <t>Hauptstadtgeschichte</t>
  </si>
  <si>
    <t>Berlin – Brandenburger Tor</t>
  </si>
  <si>
    <t>Das klassizistische Tor (1791) stand bis 1989 an der Mauer und wurde nach dem Fall zum Symbol der deutschen Einheit.</t>
  </si>
  <si>
    <t>Techno-Kultur</t>
  </si>
  <si>
    <t>Berlin – Berghain</t>
  </si>
  <si>
    <t>Der Club Berghain in einem ehemaligen Kraftwerk gilt als Mekka des Techno: kompromisslose Türpolitik und erstklassiger Sound erzeugen Kultstatus.</t>
  </si>
  <si>
    <t>Mauerfall</t>
  </si>
  <si>
    <t>Berlin – East Side Gallery</t>
  </si>
  <si>
    <t>Die bemalten 1,3 km Mauerreste zeigen über 100 Murals, die Freude über die friedliche Revolution von 1989 ausdrücken.</t>
  </si>
  <si>
    <t>Parklandschaft</t>
  </si>
  <si>
    <t>Fürstenberg/Havel – Schloss</t>
  </si>
  <si>
    <t>Schloss Fürstenberg liegt in einer seen- und waldreichen Parklandschaft Nordbrandenburgs und spiegelt adlige Kultur in naturnaher Umgebung.</t>
  </si>
  <si>
    <t>Brandenburgische Seen</t>
  </si>
  <si>
    <t>Rheinsberg – Schloss</t>
  </si>
  <si>
    <t>Schloss Rheinsberg am Grienericksee, einst Residenz Friedrichs des Großen, repräsentiert die idyllischen Seen des Ruppiner Landes.</t>
  </si>
  <si>
    <t>Müritzeum</t>
  </si>
  <si>
    <t>Waren – Müritzeum</t>
  </si>
  <si>
    <t>Deutschlands größtes Süßwasseraquarium informiert im Müritzeum über Flora und Fauna der Mecklenburgischen Seenplatte.</t>
  </si>
  <si>
    <t>Hafengeschichte</t>
  </si>
  <si>
    <t>Rostock – Alter Strom</t>
  </si>
  <si>
    <t>Warnemündes Alter Strom zeigt mit Fischerbooten und Kapitänshäusern die maritime Tradition der Hansestadt Rostock.</t>
  </si>
  <si>
    <t>Fischerdorf</t>
  </si>
  <si>
    <t>Ahrenshoop – Künstlerkolonie</t>
  </si>
  <si>
    <t>Das ehemalige Fischerdorf Ahrenshoop wurde ab 1890 zur Künstlerkolonie; Reetdächer und Ostseelicht inspirieren Maler bis heute.</t>
  </si>
  <si>
    <t>Stadterhebung</t>
  </si>
  <si>
    <t>Stralsund – Altstadt</t>
  </si>
  <si>
    <t>Stralsunds Backsteingotik-Altstadt erhielt 1234 Stadtrecht; als Hanse-Hafen ist sie zusammen mit Wismar UNESCO-Welterbe.</t>
  </si>
  <si>
    <t>Backsteingotik</t>
  </si>
  <si>
    <t>Greifswald – Dom</t>
  </si>
  <si>
    <t>Der Dom St. Nikolai (13. Jh.) dominiert Greifswalds Silhouette und verkörpert norddeutsche Backsteingotik und Hanse-Reichtum.</t>
  </si>
  <si>
    <t>Nationalpark Jasmund</t>
  </si>
  <si>
    <t>Rügen – Kreideküste</t>
  </si>
  <si>
    <t>Die weißen Kreidefelsen und alten Buchenwälder des Nationalparks Jasmund sind UNESCO-Weltnaturerbe und Inspiration romantischer Maler.</t>
  </si>
  <si>
    <t>Kaiserbäder Usedom</t>
  </si>
  <si>
    <t>Usedom – Kaiserbäder</t>
  </si>
  <si>
    <t>Ahlbeck, Heringsdorf, Bansin lockten seit 1900 mit Seebrücken und Bäderarchitektur das Berliner Bürgertum an die Ostsee.</t>
  </si>
  <si>
    <t>UNESCO-Altstadt Wismar</t>
  </si>
  <si>
    <t>Wismar – Altstadt</t>
  </si>
  <si>
    <t>Giebelhäuser, Wasserkunst und Backsteinkirchen bezeugen Wismars Hanse-Vergangenheit und machten die Altstadt zum Weltkulturerbe.</t>
  </si>
  <si>
    <t>Schwerin – Schloss</t>
  </si>
  <si>
    <t>Das romantische Insel-Schloss mit Türmen und goldenem Turmhelm ist Sitz des Landtags Mecklenburg-Vorpommerns und ein Märchenmotiv.</t>
  </si>
  <si>
    <t>Backsteingotik Ost</t>
  </si>
  <si>
    <t>Lübeck – Holstentor</t>
  </si>
  <si>
    <t>Das spätgotische Holstentor (1464–1478) mit Zwillings­türmen ist Lübecks Wahrzeichen und erinnert an die Blüte der Hanse.</t>
  </si>
  <si>
    <t>St. Michaelis</t>
  </si>
  <si>
    <t>Hamburg – Michel</t>
  </si>
  <si>
    <t>Der barocke Michel mit 132 m Turm bietet Seefahrern Orientierung und Hamburgern ein identitätsstiftendes Wahrzeichen.</t>
  </si>
  <si>
    <t>Elbphilharmonie</t>
  </si>
  <si>
    <t>Hamburg – Elbphilharmonie</t>
  </si>
  <si>
    <t>Das 2017 eröffnete Konzerthaus kombiniert modernen Glaswellenbau auf historischem Kaispeicher und setzt akustische Maßstäbe.</t>
  </si>
  <si>
    <t>Hafengeburtstag</t>
  </si>
  <si>
    <t>Hamburg – Landungsbrücken</t>
  </si>
  <si>
    <t>Europas größtes Hafenfest feiert seit 1189 die Hamburger Schifffahrt mit Ein- und Auslaufparaden von Segel- bis Kreuzfahrtschiffen.</t>
  </si>
  <si>
    <t>Reeperbahn</t>
  </si>
  <si>
    <t>Hamburg – St. Pauli</t>
  </si>
  <si>
    <t>St. Paulis Reeperbahn ist weltberühmtes Vergnügungs- und Rotlichtviertel, wo in den 1960ern die Beatles ihren Durchbruch hatten.</t>
  </si>
  <si>
    <t>Handball THW Kiel</t>
  </si>
  <si>
    <t>Kiel – Wunderino Arena</t>
  </si>
  <si>
    <t>THW Kiel, vielfacher deutscher und Champions-League-Sieger, sorgt in der Wunderino Arena für Handball-Atmosphäre auf Weltklasseniveau.</t>
  </si>
  <si>
    <t>Kieler Woche</t>
  </si>
  <si>
    <t>Kiel – Hörn</t>
  </si>
  <si>
    <t>Seit 1882 ist die Kieler Woche das größte Segelereignis der Welt; Regatten und maritimes Volksfest beleben eine Woche lang die Förde.</t>
  </si>
  <si>
    <t>Max Planck</t>
  </si>
  <si>
    <t>Kiel – Max-Planck-Schule</t>
  </si>
  <si>
    <t>Der in Kiel geborene Physiker Max Planck (1858–1947) begründete mit seiner Quantentheorie die moderne Physik.</t>
  </si>
  <si>
    <t>Sylt Strandkultur</t>
  </si>
  <si>
    <t>Westerland – Strandpromenade</t>
  </si>
  <si>
    <t>Sylt vereint Kurtradition, endlose Sandstrände und Prominentenflair; Strandkörbe und Reetdörfer prägen Deutschlands bekannteste Nordseeinsel.</t>
  </si>
  <si>
    <t>Moderne Kunst</t>
  </si>
  <si>
    <t>Magdeburg – Kunstmuseum</t>
  </si>
  <si>
    <t>Das Kunstmuseum im Kloster Unser Lieben Frauen verbindet romanische Architektur mit internationaler Gegenwartskunst – Symbol des modernen Magdeburg.</t>
  </si>
  <si>
    <t>ErklÃ¤rung</t>
  </si>
  <si>
    <t>Frankfurt â€“ Main Tower</t>
  </si>
  <si>
    <t>Der Main Tower in Frankfurt am Main ist ein 200 Meter hoher Wolkenkratzer mit Ã¶ffentlich zugÃ¤nglicher Aussichtsplattform. Das 2000 erÃ¶ffnete Hochhaus prÃ¤gt mit seiner Glasfassade die Frankfurter Skyline und zÃ¤hlt zu den hÃ¶chsten GebÃ¤uden Deutschlands; von 198 Metern HÃ¶he genieÃŸt man einen Rundblick Ã¼ber die Stadt.</t>
  </si>
  <si>
    <t>Frankfurt â€“ RÃ¶mer</t>
  </si>
  <si>
    <t>Frankfurt am Main zÃ¤hlt als Finanzmetropole zu den wichtigsten Bankenstandorten Europas. Sitz der EuropÃ¤ischen Zentralbank und zahlreicher GroÃŸbanken, verleiht die Skyline mit den meisten Wolkenkratzern Deutschlands der Stadt den Spitznamen â€žMainhattanâ€œ.</t>
  </si>
  <si>
    <t>Wiesbaden â€“ Kurhaus</t>
  </si>
  <si>
    <t>Wiesbaden gilt seit dem 19. Jahrhundert als mondÃ¤ne Kurstadt. Das neoklassizistische Kurhaus von 1907, Thermalquellen und weitlÃ¤ufige Kurparks spiegeln bis heute die historische Wellness-Kultur wider.</t>
  </si>
  <si>
    <t>Mainz â€“ Gutenberg-Museum</t>
  </si>
  <si>
    <t>Johannes Gutenberg revolutionierte um 1450 in Mainz den Buchdruck mit beweglichen Lettern. Das Gutenberg-Museum zeigt u. a. zwei Gutenberg-Bibeln und demonstriert an historischen Pressen die Technik, die das Lesen weltweit verÃ¤nderte.</t>
  </si>
  <si>
    <t>RÃ¼desheim â€“ Drosselgasse</t>
  </si>
  <si>
    <t>Die Drosselgasse in RÃ¼desheim ist eine 144 Meter lange Fachwerkgasse voller Weinstuben. Ihre Weinfeste mit Live-Musik reprÃ¤sentieren die gesellige Rheingauer Weinkultur.</t>
  </si>
  <si>
    <t>WÃ¶llstein â€“ Geburtsort</t>
  </si>
  <si>
    <t>Helene Fischer (*1984) wuchs in WÃ¶llstein auf und wurde zur erfolgreichsten deutschen SchlagersÃ¤ngerin. Hits wie â€žAtemlos durch die Nachtâ€œ und zahlreiche Auszeichnungen prÃ¤gen ihre Karriere.</t>
  </si>
  <si>
    <t>St. Goar â€“ Loreleyfelsen</t>
  </si>
  <si>
    <t>Boppard â€“ Rheinschleife</t>
  </si>
  <si>
    <t>An der Rheinschleife bei Boppard wachsen auf steilen SchieferhÃ¤ngen Riesling-Reben. Der Bopparder Hamm dokumentiert seit Jahrhunderten die Weinbautradition des Mittelrheins.</t>
  </si>
  <si>
    <t>Koblenz â€“ Deutsches Eck</t>
  </si>
  <si>
    <t>Am Deutschen Eck flieÃŸen Mosel und Rhein zusammen. Das Reiterstandbild Kaiser Wilhelms I. (1897) erinnert an die ReichsgrÃ¼ndung und wurde nach 1945 zum Symbol der deutschen Einheit.</t>
  </si>
  <si>
    <t>NÃ¼rburgring â€“ GP-Strecke</t>
  </si>
  <si>
    <t>Deutschlands Autobahnen sind fÃ¼r fehlende Tempolimits bekannt. Auf der Nordschleife des NÃ¼rburgrings kÃ¶nnen Fahrer Hochgeschwindigkeit legal erleben â€“ ein kontrolliertes Pendant zum Autobahnrausch.</t>
  </si>
  <si>
    <t>Bonn â€“ Beethoven-Haus</t>
  </si>
  <si>
    <t>Ludwig van Beethoven (1770â€“1827) wurde in Bonn geboren. Sein Geburtshaus bewahrt Originalinstrumente und Handschriften des Komponisten, dessen Werke die klassische Musik bis heute prÃ¤gen.</t>
  </si>
  <si>
    <t>KÃ¶lner Karneval</t>
  </si>
  <si>
    <t>KÃ¶ln â€“ Alter Markt</t>
  </si>
  <si>
    <t>Der KÃ¶lner Karneval, seit 1823 organisiert, verwandelt die Stadt vom 11. 11. bis Aschermittwoch in ein buntes Volksfest. HÃ¶hepunkt ist der Rosenmontagszug mit Hunderttausenden kostÃ¼mierten Jecken.</t>
  </si>
  <si>
    <t>KÃ¶ln â€“ Adenauer-Haus</t>
  </si>
  <si>
    <t>Konrad Adenauer (1876â€“1967) war KÃ¶lner OberbÃ¼rgermeister und erster Bundeskanzler der Bundesrepublik. Sein Wohnhaus in RhÃ¶ndorf erzÃ¤hlt von seinem Einsatz fÃ¼r Wiederaufbau und Westbindung.</t>
  </si>
  <si>
    <t>Mettmann â€“ Neanderthal Museum</t>
  </si>
  <si>
    <t>Der 1856 gefundene Neandertaler-SchÃ¤del revolutionierte das VerstÃ¤ndnis menschlicher Evolution. Das Neanderthal Museum veranschaulicht die Geschichte unserer fossilen Verwandten.</t>
  </si>
  <si>
    <t>DÃ¼sseldorf â€“ Rheinturm</t>
  </si>
  <si>
    <t>DÃ¼sseldorf verbindet Altstadt, Mode- und Messekultur mit moderner Architektur im Medienhafen. Der Rheinturm bietet einen Panoramablick auf die Rheinmetropole und ihre Kunst- und Shopping-Szene.</t>
  </si>
  <si>
    <t>Duisburg â€“ Innenhafen</t>
  </si>
  <si>
    <t>Der Duisburger Innenhafen, einst Speicher- und Handelshafen, wurde zum Kultur- und BÃ¼roquartier umgestaltet. Restaurierte Speicher und Museen zeigen den erfolgreichen Strukturwandel von Stahl zu Kultur.</t>
  </si>
  <si>
    <t>Essen â€“ Zeche Zollverein</t>
  </si>
  <si>
    <t>Essen â€“ Kokerei Zollverein</t>
  </si>
  <si>
    <t>Die Kokerei Zollverein verarbeitete bis 1993 Kohle zu Koks und ist heute Teil des Weltkulturerbes. Besucher erkunden FÃ¶rdertÃ¼rme, Ã–fen und Aussichtsplattformen eines herausragenden Industriedenkmals.</t>
  </si>
  <si>
    <t>FuÃŸball Bundesliga</t>
  </si>
  <si>
    <t>Dortmund â€“ Signal Iduna Park</t>
  </si>
  <si>
    <t>Borussia Dortmunds Stadion mit der legendÃ¤ren â€žGelben Wandâ€œ steht fÃ¼r die Fankultur der FuÃŸball-Bundesliga, die seit 1963 Millionen begeistert.</t>
  </si>
  <si>
    <t>WestfÃ¤lische Fachwerkstadt</t>
  </si>
  <si>
    <t>MÃ¼nster â€“ Prinzipalmarkt</t>
  </si>
  <si>
    <t>MÃ¼nsters Prinzipalmarkt mit GiebelhÃ¤usern und Arkaden, Rathaus und Lambertikirche vereint mittelalterliche Baukunst und Wiederaufbau. FahrrÃ¤der und Friedensgeschichte prÃ¤gen das Stadtbild.</t>
  </si>
  <si>
    <t>Bielefeld â€“ Sparrenburg</t>
  </si>
  <si>
    <t>Die mittelalterliche Sparrenburg Ã¼berragt Bielefeld am Rand des Teutoburger Waldes, der durch die Varusschlacht (9 n. Chr.) historisch bekannt ist.</t>
  </si>
  <si>
    <t>Hannover â€“ Neues Rathaus</t>
  </si>
  <si>
    <t>Hannovers wilhelminisches Neues Rathaus (1913) symbolisiert den Wiederaufbau der Stadt, die heute Messestandort und grÃ¼ne GroÃŸstadt mit den HerrenhÃ¤user GÃ¤rten ist.</t>
  </si>
  <si>
    <t>Hannover â€“ H.-Arendt-Platz</t>
  </si>
  <si>
    <t>Die politische Theoretikerin Hannah Arendt (1906â€“1975) wurde in Hannover geboren. Der Hannah-Arendt-Platz mahnt an Demokratie, Freiheit und Verantwortung.</t>
  </si>
  <si>
    <t>Hannover â€“ Expo-Park</t>
  </si>
  <si>
    <t>Hannover â€“ Herrenhausen</t>
  </si>
  <si>
    <t>Das rekonstruierte Schloss Herrenhausen liegt inmitten der berÃ¼hmten barocken HerrenhÃ¤user GÃ¤rten mit Wasserspielen und Botanischem Berggarten.</t>
  </si>
  <si>
    <t>Braunschweig â€“ Schloss</t>
  </si>
  <si>
    <t>Die Fassade des im Krieg zerstÃ¶rten Welfenschlosses wurde 2007 vor ein modernes Einkaufs- und Kulturzentrum gesetzt â€“ ein Beispiel fÃ¼r Tradition im neuen Gewand.</t>
  </si>
  <si>
    <t>Wolfsburg â€“ Phaeno</t>
  </si>
  <si>
    <t>Das von Zaha Hadid entworfene Phaeno Science Center inszeniert NaturphÃ¤nomene interaktiv. Es ergÃ¤nzt Wolfsburgs Autostadt und die VW-Historie um Wissenschaftserlebnisse.</t>
  </si>
  <si>
    <t>Volkswagen-GrÃ¼ndung</t>
  </si>
  <si>
    <t>Wolfsburg â€“ Autostadt</t>
  </si>
  <si>
    <t>1938 als Standort fÃ¼r den VW-KÃ¤fer gegrÃ¼ndet, erzÃ¤hlt Wolfsburgs Autostadt mit Pavillons und Oldtimern die Geschichte des Konzerns und des Automobils.</t>
  </si>
  <si>
    <t>Goslar â€“ Altstadt</t>
  </si>
  <si>
    <t>UniversitÃ¤tsstadt</t>
  </si>
  <si>
    <t>GÃ¶ttingen â€“ GÃ¤nseliesel</t>
  </si>
  <si>
    <t>Seit 1737 prÃ¤gt die UniversitÃ¤t GÃ¶ttingen die Stadt. Der GÃ¤nseliesel-Brunnen gilt als â€žmeistgekÃ¼sstes MÃ¤dchen der Weltâ€œ, denn frisch promovierte Doktoranden kÃ¼ssen die Statue.</t>
  </si>
  <si>
    <t>BrÃ¼der Grimm</t>
  </si>
  <si>
    <t>Kassel â€“ Grimm-Museum</t>
  </si>
  <si>
    <t>In Kassel sammelten Jacob und Wilhelm Grimm ihre weltberÃ¼hmten MÃ¤rchen. Die Grimmwelt prÃ¤sentiert Manuskripte und sprachwissenschaftliches Erbe.</t>
  </si>
  <si>
    <t>Kassel â€“ Friedrichsplatz</t>
  </si>
  <si>
    <t>Die alle fÃ¼nf Jahre stattfindende documenta macht Kassel zur Welthauptstadt zeitgenÃ¶ssischer Kunst und verwandelt die Stadt in ein riesiges Open-Air-Museum.</t>
  </si>
  <si>
    <t>Kassel â€“ Bergpark WilhelmshÃ¶he</t>
  </si>
  <si>
    <t>Europas grÃ¶ÃŸter Hangpark mit Herkules-Statue und barocken Wasserspielen ist UNESCO-Welterbe und Zeugnis landgrÃ¤flicher Gartenkunst.</t>
  </si>
  <si>
    <t>Eisenach â€“ Wartburg</t>
  </si>
  <si>
    <t>1817 forderten Studenten auf der Wartburg nationale Einheit und Freiheitsrechte. Die Burg ist auch durch Luthers BibelÃ¼bersetzung berÃ¼hmt.</t>
  </si>
  <si>
    <t>Erfurt â€“ Dom</t>
  </si>
  <si>
    <t>Der gotische Erfurter Dom beherbergt die Gloriosa, grÃ¶ÃŸte freischwingende mittelalterliche Glocke. Hier wurde Martin Luther 1507 zum Priester geweiht.</t>
  </si>
  <si>
    <t>Weimar â€“ Goethe-Haus</t>
  </si>
  <si>
    <t>Goethes Wohnhaus zeigt originale RÃ¤ume und Sammlungen des Dichters, der mit Schiller die Weimarer Klassik prÃ¤gte.</t>
  </si>
  <si>
    <t>Weimar â€“ DNT</t>
  </si>
  <si>
    <t>Die Geldentwertung der Weimarer Republik erreichte 1923 ihren HÃ¶hepunkt: Preise explodierten, Ersparnisse verfielen â€“ ein Trauma deutscher Wirtschaftsgeschichte.</t>
  </si>
  <si>
    <t>ThÃ¼ringer Wald â€“ Rennsteig</t>
  </si>
  <si>
    <t>Der 170 km lange Rennsteig-Kammweg ist Ã¤ltester Fernwanderweg Deutschlands und verbindet Kultur- und Naturlandschaften des ThÃ¼ringer Waldes.</t>
  </si>
  <si>
    <t>Lauscha â€“ GlasblÃ¤serwerkstatt</t>
  </si>
  <si>
    <t>Lauscha gilt als Geburtsort der glÃ¤sernen Christbaumkugel. Seit 1597 pflegen Familienbetriebe hier die Kunst des Glasblasens.</t>
  </si>
  <si>
    <t>Coburg â€“ Veste Coburg</t>
  </si>
  <si>
    <t>Die Veste Coburg, eine der grÃ¶ÃŸten Burgen Deutschlands, beherbergt Kunstsammlungen und war 1530 Luther-Fluchtort.</t>
  </si>
  <si>
    <t>Kulmbach â€“ MÃ¶nchshof</t>
  </si>
  <si>
    <t>Kulmbach prÃ¤sentiert im Bayerischen Brauereimuseum Starkbier- und Eisbock-Tradition und feiert jÃ¤hrlich die Bierwoche.</t>
  </si>
  <si>
    <t>Kulmbach â€“ Brauerei</t>
  </si>
  <si>
    <t>FrÃ¤nkische Braukunst mit Reinheitsgebot: Kulmbacher Starkbiere genieÃŸen internationalen Ruf und prÃ¤gen lokale IdentitÃ¤t.</t>
  </si>
  <si>
    <t>Bayreuth â€“ Opernhaus</t>
  </si>
  <si>
    <t>Das MarkgrÃ¤fliche Opernhaus (1748) ist ein vollstÃ¤ndig erhaltenes Barocktheater und UNESCO-Welterbe â€“ ein Juwel hÃ¶fischer Festkultur.</t>
  </si>
  <si>
    <t>Bayreuth â€“ Festspielhaus</t>
  </si>
  <si>
    <t>Das 1876 erÃ¶ffnete Festspielhaus, akustisch auf Wagners Musikdramen ausgelegt, zieht Opernliebhaber aus aller Welt zu den Bayreuther Festspielen.</t>
  </si>
  <si>
    <t>FrÃ¤nkische Schweiz</t>
  </si>
  <si>
    <t>Pottenstein â€“ TeufelshÃ¶hle</t>
  </si>
  <si>
    <t>Die zerklÃ¼ftete Karstlandschaft mit TropfsteinhÃ¶hlen und Burgruinen ist seit dem 19. Jh. ein beliebtes Wander- und Klettergebiet.</t>
  </si>
  <si>
    <t>Bamberg â€“ Altstadt</t>
  </si>
  <si>
    <t>Bambergs sieben-hÃ¼gelige Altstadt mit romanischem Dom und Rathaus in der Regnitz gilt als grÃ¶ÃŸtes unzerstÃ¶rtes historisches Stadtbild Deutschlands.</t>
  </si>
  <si>
    <t>NÃ¼rnberg â€“ Hauptmarkt</t>
  </si>
  <si>
    <t>Der NÃ¼rnberger Christkindlesmarkt, seit dem 16. Jh. belegt, lockt mit Lebkuchen und Holzspielzeug jÃ¤hrlich zwei Millionen Besucher.</t>
  </si>
  <si>
    <t>NÃ¼rnberg â€“ Memorium</t>
  </si>
  <si>
    <t>Das Memorium NÃ¼rnberger Prozesse erinnert in Saal 600 an die juristische Aufarbeitung der NS-Verbrechen und die Geburtsstunde des VÃ¶lkerstrafrechts.</t>
  </si>
  <si>
    <t>Ingolstadt â€“ Herzogskasten</t>
  </si>
  <si>
    <t>1516 verkÃ¼ndeten bayerische HerzÃ¶ge in Ingolstadt das Reinheitsgebot: Bier darf nur aus Wasser, Gerste, Hopfen bestehen â€“ Ã¤lteste Lebensmittelvorschrift der Welt.</t>
  </si>
  <si>
    <t>FuÃŸball Allianz Arena</t>
  </si>
  <si>
    <t>MÃ¼nchen â€“ Allianz Arena</t>
  </si>
  <si>
    <t>Die 2005 erÃ¶ffnete Allianz Arena mit lichtÂ­durchÂ­lÃ¤ssiger AuÃŸenhaut ist Heim des FC Bayern und eines der markantesten Stadien Europas.</t>
  </si>
  <si>
    <t>MÃ¼nchen â€“ Olympiapark</t>
  </si>
  <si>
    <t>Die Spiele von 1972 setzten mit ihrer Zeltdach-Architektur neue MaÃŸstÃ¤be; das Attentat auf die israelische Mannschaft prÃ¤gte die Erinnerung an das moderne Areal.</t>
  </si>
  <si>
    <t>MÃ¼nchen â€“ LMU</t>
  </si>
  <si>
    <t>Sophie Scholl verteilte 1943 FlugblÃ¤tter der â€žWeiÃŸen Roseâ€œ an der LMU. Heute mahnen Gedenktafeln an ihren mutigen Widerstand gegen das NS-Regime.</t>
  </si>
  <si>
    <t>MÃ¼nchen â€“ Theresienwiese</t>
  </si>
  <si>
    <t>Seit 1810 feiert MÃ¼nchen das Oktoberfest. Riesige Bierzelte, FahrgeschÃ¤fte und Trachten ziehen jÃ¤hrlich Millionen Besucher an.</t>
  </si>
  <si>
    <t>Schwangau â€“ Neuschwanstein</t>
  </si>
  <si>
    <t>KÃ¶nig Ludwigs MÃ¤rchenschloss (ab 1869) verkÃ¶rpert romantischen Historismus in alpiner Kulisse und diente als Vorbild fÃ¼r das Disney-Schloss.</t>
  </si>
  <si>
    <t>Friedrichshafen â€“ Zeppelin Museum</t>
  </si>
  <si>
    <t>Hier startete 1900 der erste Zeppelin der Welt. Das Museum zeigt Exponate zur LuftschiffÃ¤ra, darunter ein TeilstÃ¼ck der â€žHindenburgâ€œ.</t>
  </si>
  <si>
    <t>Ulm â€“ Einstein-Brunnen</t>
  </si>
  <si>
    <t>Albert Einstein, 1879 in Ulm geboren, revolutionierte mit RelativitÃ¤ts- und Quantentheorie die Physik. Der Brunnen erinnert an das Genie.</t>
  </si>
  <si>
    <t>Stuttgart â€“ Wasen</t>
  </si>
  <si>
    <t>Das Cannstatter Volksfest (seit 1818) ist nach dem Oktoberfest das zweitgrÃ¶ÃŸte deutsche Bier- und Volksfest und zieht jÃ¤hrlich rund vier Millionen GÃ¤ste an.</t>
  </si>
  <si>
    <t>Heidelberg â€“ Schloss</t>
  </si>
  <si>
    <t>Die romantische Schlossruine Ã¼ber dem Neckar war Residenz der KurfÃ¼rsten. Ihre Renaissance-Fassaden und das GroÃŸe Fass begeisterten schon Goethe.</t>
  </si>
  <si>
    <t>Mannheim â€“ Carl-Benz-Haus</t>
  </si>
  <si>
    <t>Carl Benz baute 1885/86 in Mannheim den ersten praxistauglichen Motorwagen. Bertha Benzâ€™ erste Fernfahrt bewies seine Alltagstauglichkeit.</t>
  </si>
  <si>
    <t>WÃ¼rzburg â€“ Residenz</t>
  </si>
  <si>
    <t>Die WÃ¼rzburger Residenz (1720â€“1744) mit Tiepolo-Fresko und Spiegelsaal gilt als Hauptwerk des sÃ¼ddeutschen Barock und ist UNESCO-Welterbe.</t>
  </si>
  <si>
    <t>SchwarzwÃ¤lder Kirschtorte</t>
  </si>
  <si>
    <t>Triberg â€“ CafÃ© SchÃ¤fer</t>
  </si>
  <si>
    <t>Im Schwarzwald entstand die Sahne-Schokoladen-Kirschtorte mit Kirschwasser. Das CafÃ© SchÃ¤fer serviert sie nach historischem Rezept.</t>
  </si>
  <si>
    <t>Aachen â€“ Dom</t>
  </si>
  <si>
    <t>Karls Pfalzkapelle (8./9. Jh.) und gotischer Chor sind erstes deutsches UNESCO-Welterbe. Ãœber 30 deutsche KÃ¶nige wurden hier gekrÃ¶nt.</t>
  </si>
  <si>
    <t>Aachen â€“ Dombezirk</t>
  </si>
  <si>
    <t>Der Aachener Domschatz mit Karlsschrein und Marienschrein zÃ¤hlt zu den bedeutendsten KirchenschÃ¤tzen Europas und ergÃ¤nzt den Weltkulturerbe-Dom.</t>
  </si>
  <si>
    <t>Eisleben â€“ GedenkstÃ¤tten</t>
  </si>
  <si>
    <t>Luthers Geburts- und SterbehÃ¤user in Eisleben sind UNESCO-Welterbe und dokumentieren Leben und Wirkung des Reformators.</t>
  </si>
  <si>
    <t>ArchitekturÂ­moderne</t>
  </si>
  <si>
    <t>Dessau â€“ MeisterhÃ¤user</t>
  </si>
  <si>
    <t>Die MeisterhÃ¤user (1925/26) von Gropius fÃ¼r Bauhaus-Lehrer wie Kandinsky reprÃ¤sentieren funktionale Bauhaus-Architektur im Originalzustand.</t>
  </si>
  <si>
    <t>Bauhaus-GrÃ¼ndung</t>
  </si>
  <si>
    <t>Dessau â€“ Bauhaus</t>
  </si>
  <si>
    <t>Das BauhausgebÃ¤ude (1926) mit Glasfassade steht fÃ¼r die Verschmelzung von Kunst, Handwerk und Industrie â€“ ein Meilenstein der Moderne.</t>
  </si>
  <si>
    <t>Lutherstadt Wittenberg â€“ Schlosskirche</t>
  </si>
  <si>
    <t>Luthers 95 Thesen von 1517 an der Schlosskirche lÃ¶sten die Reformation aus und verÃ¤nderten Kirche und Gesellschaft nachhaltig.</t>
  </si>
  <si>
    <t>Leipzig â€“ Moritzbastei</t>
  </si>
  <si>
    <t>Die Leipziger Jazztage (seit 1976) holen internationale JazzgrÃ¶ÃŸen in historische SpielstÃ¤tten wie die unterirdische Moritzbastei.</t>
  </si>
  <si>
    <t>Leipzig â€“ Bach-Museum</t>
  </si>
  <si>
    <t>VÃ¶lkerschlacht 1813</t>
  </si>
  <si>
    <t>Leipzig â€“ Denkmal</t>
  </si>
  <si>
    <t>Das 91 Meter hohe VÃ¶lkerschlachtdenkmal erinnert an Napoleons Niederlage in der grÃ¶ÃŸten Schlacht vor dem Ersten Weltkrieg.</t>
  </si>
  <si>
    <t>MeiÃŸen Porzellan</t>
  </si>
  <si>
    <t>MeiÃŸen â€“ Porzellanmuseum</t>
  </si>
  <si>
    <t>1710 entstand in MeiÃŸen das erste europÃ¤ische Hartporzellan. Das Museum zeigt MeisterstÃ¼cke mit den gekreuzten Schwertern.</t>
  </si>
  <si>
    <t>Berlin â€“ Dt. Technikmuseum</t>
  </si>
  <si>
    <t>Das Technikmuseum prÃ¤sentiert Lokomotiven, Schiffe und einen â€žRosinenbomberâ€œ auf dem Dach â€“ Technikgeschichte zum Anfassen.</t>
  </si>
  <si>
    <t>PreuÃŸische Pracht</t>
  </si>
  <si>
    <t>Potsdam â€“ Schloss Sanssouci</t>
  </si>
  <si>
    <t>Friedrich der GroÃŸe lieÃŸ Sanssouci (1747) als Rokoko-Sommerresidenz Ã¼ber Weinbergterrassen erbauen; Park und SchlÃ¶sser sind UNESCO-Welterbe.</t>
  </si>
  <si>
    <t>Potsdam â€“ Filmpark Babelsberg</t>
  </si>
  <si>
    <t>Die Babelsberger Studios (ab 1912) sind Wiege des deutschen Films. Der Filmpark gewÃ¤hrt Einblicke in Kulissen, Stunts und Tricktechnik.</t>
  </si>
  <si>
    <t>Berliner LuftbrÃ¼cke</t>
  </si>
  <si>
    <t>Berlin â€“ Tempelhof</t>
  </si>
  <si>
    <t>1948/49 versorgten Rosinenbomber den blockierten Westteil der Stadt Ã¼ber den Flughafen Tempelhof â€“ ein Symbol westlicher SolidaritÃ¤t.</t>
  </si>
  <si>
    <t>Berlin â€“ Checkpoint Charlie</t>
  </si>
  <si>
    <t>Der bekannteste Berliner GrenzÃ¼bergang war Schauplatz brisanter Panzerkonfrontationen zwischen USA und UdSSR im Oktober 1961.</t>
  </si>
  <si>
    <t>Berlin â€“ Brandenburger Tor</t>
  </si>
  <si>
    <t>Berlin â€“ Berghain</t>
  </si>
  <si>
    <t>Der Club Berghain in einem ehemaligen Kraftwerk gilt als Mekka des Techno: kompromisslose TÃ¼rpolitik und erstklassiger Sound erzeugen Kultstatus.</t>
  </si>
  <si>
    <t>Berlin â€“ East Side Gallery</t>
  </si>
  <si>
    <t>Die bemalten 1,3 km Mauerreste zeigen Ã¼ber 100 Murals, die Freude Ã¼ber die friedliche Revolution von 1989 ausdrÃ¼cken.</t>
  </si>
  <si>
    <t>FÃ¼rstenberg/Havel â€“ Schloss</t>
  </si>
  <si>
    <t>Schloss FÃ¼rstenberg liegt in einer seen- und waldreichen Parklandschaft Nordbrandenburgs und spiegelt adlige Kultur in naturnaher Umgebung.</t>
  </si>
  <si>
    <t>Rheinsberg â€“ Schloss</t>
  </si>
  <si>
    <t>Schloss Rheinsberg am Grienericksee, einst Residenz Friedrichs des GroÃŸen, reprÃ¤sentiert die idyllischen Seen des Ruppiner Landes.</t>
  </si>
  <si>
    <t>MÃ¼ritzeum</t>
  </si>
  <si>
    <t>Waren â€“ MÃ¼ritzeum</t>
  </si>
  <si>
    <t>Deutschlands grÃ¶ÃŸtes SÃ¼ÃŸwasseraquarium informiert im MÃ¼ritzeum Ã¼ber Flora und Fauna der Mecklenburgischen Seenplatte.</t>
  </si>
  <si>
    <t>Rostock â€“ Alter Strom</t>
  </si>
  <si>
    <t>WarnemÃ¼ndes Alter Strom zeigt mit Fischerbooten und KapitÃ¤nshÃ¤usern die maritime Tradition der Hansestadt Rostock.</t>
  </si>
  <si>
    <t>Ahrenshoop â€“ KÃ¼nstlerkolonie</t>
  </si>
  <si>
    <t>Das ehemalige Fischerdorf Ahrenshoop wurde ab 1890 zur KÃ¼nstlerkolonie; ReetdÃ¤cher und Ostseelicht inspirieren Maler bis heute.</t>
  </si>
  <si>
    <t>Stralsund â€“ Altstadt</t>
  </si>
  <si>
    <t>Greifswald â€“ Dom</t>
  </si>
  <si>
    <t>Der Dom St. Nikolai (13. Jh.) dominiert Greifswalds Silhouette und verkÃ¶rpert norddeutsche Backsteingotik und Hanse-Reichtum.</t>
  </si>
  <si>
    <t>RÃ¼gen â€“ KreidekÃ¼ste</t>
  </si>
  <si>
    <t>Die weiÃŸen Kreidefelsen und alten BuchenwÃ¤lder des Nationalparks Jasmund sind UNESCO-Weltnaturerbe und Inspiration romantischer Maler.</t>
  </si>
  <si>
    <t>KaiserbÃ¤der Usedom</t>
  </si>
  <si>
    <t>Usedom â€“ KaiserbÃ¤der</t>
  </si>
  <si>
    <t>Ahlbeck, Heringsdorf, Bansin lockten seit 1900 mit SeebrÃ¼cken und BÃ¤derarchitektur das Berliner BÃ¼rgertum an die Ostsee.</t>
  </si>
  <si>
    <t>Wismar â€“ Altstadt</t>
  </si>
  <si>
    <t>GiebelhÃ¤user, Wasserkunst und Backsteinkirchen bezeugen Wismars Hanse-Vergangenheit und machten die Altstadt zum Weltkulturerbe.</t>
  </si>
  <si>
    <t>Schwerin â€“ Schloss</t>
  </si>
  <si>
    <t>Das romantische Insel-Schloss mit TÃ¼rmen und goldenem Turmhelm ist Sitz des Landtags Mecklenburg-Vorpommerns und ein MÃ¤rchenmotiv.</t>
  </si>
  <si>
    <t>LÃ¼beck â€“ Holstentor</t>
  </si>
  <si>
    <t>Das spÃ¤tgotische Holstentor (1464â€“1478) mit ZwillingsÂ­tÃ¼rmen ist LÃ¼becks Wahrzeichen und erinnert an die BlÃ¼te der Hanse.</t>
  </si>
  <si>
    <t>Hamburg â€“ Michel</t>
  </si>
  <si>
    <t>Der barocke Michel mit 132 m Turm bietet Seefahrern Orientierung und Hamburgern ein identitÃ¤tsstiftendes Wahrzeichen.</t>
  </si>
  <si>
    <t>Hamburg â€“ Elbphilharmonie</t>
  </si>
  <si>
    <t>Das 2017 erÃ¶ffnete Konzerthaus kombiniert modernen Glaswellenbau auf historischem Kaispeicher und setzt akustische MaÃŸstÃ¤be.</t>
  </si>
  <si>
    <t>Hamburg â€“ LandungsbrÃ¼cken</t>
  </si>
  <si>
    <t>Europas grÃ¶ÃŸtes Hafenfest feiert seit 1189 die Hamburger Schifffahrt mit Ein- und Auslaufparaden von Segel- bis Kreuzfahrtschiffen.</t>
  </si>
  <si>
    <t>Hamburg â€“ St. Pauli</t>
  </si>
  <si>
    <t>St. Paulis Reeperbahn ist weltberÃ¼hmtes VergnÃ¼gungs- und Rotlichtviertel, wo in den 1960ern die Beatles ihren Durchbruch hatten.</t>
  </si>
  <si>
    <t>Kiel â€“ Wunderino Arena</t>
  </si>
  <si>
    <t>THW Kiel, vielfacher deutscher und Champions-League-Sieger, sorgt in der Wunderino Arena fÃ¼r Handball-AtmosphÃ¤re auf Weltklasseniveau.</t>
  </si>
  <si>
    <t>Kiel â€“ HÃ¶rn</t>
  </si>
  <si>
    <t>Seit 1882 ist die Kieler Woche das grÃ¶ÃŸte Segelereignis der Welt; Regatten und maritimes Volksfest beleben eine Woche lang die FÃ¶rde.</t>
  </si>
  <si>
    <t>Kiel â€“ Max-Planck-Schule</t>
  </si>
  <si>
    <t>Der in Kiel geborene Physiker Max Planck (1858â€“1947) begrÃ¼ndete mit seiner Quantentheorie die moderne Physik.</t>
  </si>
  <si>
    <t>Westerland â€“ Strandpromenade</t>
  </si>
  <si>
    <t>Sylt vereint Kurtradition, endlose SandstrÃ¤nde und Prominentenflair; StrandkÃ¶rbe und ReetdÃ¶rfer prÃ¤gen Deutschlands bekannteste Nordseeinsel.</t>
  </si>
  <si>
    <t>Magdeburg â€“ Kunstmuseum</t>
  </si>
  <si>
    <t>Das Kunstmuseum im Kloster Unser Lieben Frauen verbindet romanische Architektur mit internationaler Gegenwartskunst â€“ Symbol des modernen Magdeburg.</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</si>
</sst>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Font="1"/>
  </cellXfs>
  <cellStyles count="1">
    <cellStyle xfId="0" name="Normal" builtinId="0"/>
  </cellStyles>
  <dxfs count="4">
    <dxf>
      <font/>
      <fill>
        <patternFill patternType="none"/>
      </fill>
      <border/>
    </dxf>
    <dxf>
      <font/>
      <fill>
        <patternFill patternType="solid">
          <fgColor theme="9"/>
          <bgColor theme="9"/>
        </patternFill>
      </fill>
      <border/>
    </dxf>
    <dxf>
      <font/>
      <fill>
        <patternFill patternType="solid">
          <fgColor rgb="FFE2EFD9"/>
          <bgColor rgb="FFE2EFD9"/>
        </patternFill>
      </fill>
      <border/>
    </dxf>
    <dxf>
      <font/>
      <fill>
        <patternFill patternType="solid">
          <fgColor rgb="FFB4C6E7"/>
          <bgColor rgb="FFB4C6E7"/>
        </patternFill>
      </fill>
      <border/>
    </dxf>
  </dxfs>
  <tableStyles count="2">
    <tableStyle count="3" pivot="0" name="Tabelle3-style">
      <tableStyleElement dxfId="1" type="headerRow"/>
      <tableStyleElement dxfId="2" type="firstRowStripe"/>
      <tableStyleElement dxfId="3" type="secondRowStripe"/>
    </tableStyle>
    <tableStyle count="3" pivot="0" name="Tabelle2-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G101" displayName="Table_1" name="Table_1" id="1">
  <tableColumns count="7">
    <tableColumn name="Column1" id="1"/>
    <tableColumn name="Column2" id="2"/>
    <tableColumn name="Column3" id="3"/>
    <tableColumn name="Column4" id="4"/>
    <tableColumn name="Column5" id="5"/>
    <tableColumn name="Column6" id="6"/>
    <tableColumn name="Column7" id="7"/>
  </tableColumns>
  <tableStyleInfo name="Tabelle3-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ref="A1:F101" displayName="Table_2" name="Table_2" id="2">
  <tableColumns count="6">
    <tableColumn name="Nr" id="1"/>
    <tableColumn name="Station" id="2"/>
    <tableColumn name="Ort" id="3"/>
    <tableColumn name="Latitude" id="4"/>
    <tableColumn name="Longitude" id="5"/>
    <tableColumn name="ErklÃ¤rung" id="6"/>
  </tableColumns>
  <tableStyleInfo name="Tabelle2-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43"/>
    <col customWidth="1" min="2" max="2" width="26.0"/>
    <col customWidth="1" min="3" max="3" width="36.0"/>
    <col customWidth="1" min="4" max="4" width="10.57"/>
    <col customWidth="1" min="5" max="5" width="12.14"/>
    <col customWidth="1" min="6" max="6" width="81.14"/>
    <col customWidth="1" min="7" max="26" width="10.71"/>
  </cols>
  <sheetData>
    <row r="1">
      <c r="A1" s="1" t="s">
        <v>0</v>
      </c>
      <c r="B1" s="1" t="s">
        <v>1</v>
      </c>
      <c r="C1" s="1" t="s">
        <v>2</v>
      </c>
      <c r="D1" s="1" t="s">
        <v>3</v>
      </c>
      <c r="E1" s="1" t="s">
        <v>4</v>
      </c>
      <c r="F1" s="1" t="s">
        <v>5</v>
      </c>
      <c r="G1" s="1"/>
    </row>
    <row r="2">
      <c r="A2" s="1">
        <v>1.0</v>
      </c>
      <c r="B2" s="1" t="s">
        <v>6</v>
      </c>
      <c r="C2" s="1" t="s">
        <v>7</v>
      </c>
      <c r="D2" s="1">
        <v>501096.0</v>
      </c>
      <c r="E2" s="1">
        <v>86724.0</v>
      </c>
      <c r="F2" s="1" t="s">
        <v>8</v>
      </c>
      <c r="G2" s="1" t="str">
        <f>IFERROR(__xludf.DUMMYFUNCTION("GOOGLETRANSLATE(F2, ""de"", ""en"")"),"The Main Tower in Frankfurt am Main is a 200 meter high skyscraper with a publicly accessible viewing platform. The high-rise, which opened in 2000, shapes the Frankfurt skyline with its glass facade and is one of the tallest buildings in Germany; From a "&amp;"height of 198 meters you can enjoy a panoramic view of the city.")</f>
        <v>The Main Tower in Frankfurt am Main is a 200 meter high skyscraper with a publicly accessible viewing platform. The high-rise, which opened in 2000, shapes the Frankfurt skyline with its glass facade and is one of the tallest buildings in Germany; From a height of 198 meters you can enjoy a panoramic view of the city.</v>
      </c>
    </row>
    <row r="3">
      <c r="A3" s="1">
        <v>2.0</v>
      </c>
      <c r="B3" s="1" t="s">
        <v>9</v>
      </c>
      <c r="C3" s="1" t="s">
        <v>10</v>
      </c>
      <c r="D3" s="1">
        <v>501106.0</v>
      </c>
      <c r="E3" s="1">
        <v>86821.0</v>
      </c>
      <c r="F3" s="1" t="s">
        <v>11</v>
      </c>
      <c r="G3" s="1" t="str">
        <f>IFERROR(__xludf.DUMMYFUNCTION("GOOGLETRANSLATE(F3, ""de"", ""en"")"),"As a financial metropolis, Frankfurt am Main is one of the most important banking locations in Europe. Home to the European Central Bank and numerous major banks, the skyline with the most skyscrapers in Germany gives the city its nickname “Mainhattan”.")</f>
        <v>As a financial metropolis, Frankfurt am Main is one of the most important banking locations in Europe. Home to the European Central Bank and numerous major banks, the skyline with the most skyscrapers in Germany gives the city its nickname “Mainhattan”.</v>
      </c>
    </row>
    <row r="4">
      <c r="A4" s="1">
        <v>3.0</v>
      </c>
      <c r="B4" s="1" t="s">
        <v>12</v>
      </c>
      <c r="C4" s="1" t="s">
        <v>13</v>
      </c>
      <c r="D4" s="1">
        <v>500826.0</v>
      </c>
      <c r="E4" s="1">
        <v>82435.0</v>
      </c>
      <c r="F4" s="1" t="s">
        <v>14</v>
      </c>
      <c r="G4" s="1" t="str">
        <f>IFERROR(__xludf.DUMMYFUNCTION("GOOGLETRANSLATE(F4, ""de"", ""en"")"),"Wiesbaden has been considered a sophisticated spa town since the 19th century. The neoclassical spa house from 1907, thermal springs and extensive spa parks still reflect the historical wellness culture today.")</f>
        <v>Wiesbaden has been considered a sophisticated spa town since the 19th century. The neoclassical spa house from 1907, thermal springs and extensive spa parks still reflect the historical wellness culture today.</v>
      </c>
    </row>
    <row r="5">
      <c r="A5" s="1">
        <v>4.0</v>
      </c>
      <c r="B5" s="1" t="s">
        <v>15</v>
      </c>
      <c r="C5" s="1" t="s">
        <v>16</v>
      </c>
      <c r="D5" s="1">
        <v>499983.0</v>
      </c>
      <c r="E5" s="1">
        <v>82711.0</v>
      </c>
      <c r="F5" s="1" t="s">
        <v>17</v>
      </c>
      <c r="G5" s="1" t="str">
        <f>IFERROR(__xludf.DUMMYFUNCTION("GOOGLETRANSLATE(F5, ""de"", ""en"")"),"Johannes Gutenberg revolutionized book printing with movable type in Mainz around 1450. The Gutenberg Museum shows, among other things: two Gutenberg Bibles and demonstrates on historical presses the technology that changed reading worldwide.")</f>
        <v>Johannes Gutenberg revolutionized book printing with movable type in Mainz around 1450. The Gutenberg Museum shows, among other things: two Gutenberg Bibles and demonstrates on historical presses the technology that changed reading worldwide.</v>
      </c>
    </row>
    <row r="6">
      <c r="A6" s="1">
        <v>5.0</v>
      </c>
      <c r="B6" s="1" t="s">
        <v>18</v>
      </c>
      <c r="C6" s="1" t="s">
        <v>19</v>
      </c>
      <c r="D6" s="1">
        <v>499992.0</v>
      </c>
      <c r="E6" s="1">
        <v>79433.0</v>
      </c>
      <c r="F6" s="1" t="s">
        <v>20</v>
      </c>
      <c r="G6" s="1" t="str">
        <f>IFERROR(__xludf.DUMMYFUNCTION("GOOGLETRANSLATE(F6, ""de"", ""en"")"),"The Drosselgasse in Rüdesheim is a 144 meter long half-timbered alley full of wine bars. Their wine festivals with live music represent the convivial Rheingau wine culture.")</f>
        <v>The Drosselgasse in Rüdesheim is a 144 meter long half-timbered alley full of wine bars. Their wine festivals with live music represent the convivial Rheingau wine culture.</v>
      </c>
    </row>
    <row r="7">
      <c r="A7" s="1">
        <v>6.0</v>
      </c>
      <c r="B7" s="1" t="s">
        <v>21</v>
      </c>
      <c r="C7" s="1" t="s">
        <v>22</v>
      </c>
      <c r="D7" s="1">
        <v>49804.0</v>
      </c>
      <c r="E7" s="1">
        <v>7967.0</v>
      </c>
      <c r="F7" s="1" t="s">
        <v>23</v>
      </c>
      <c r="G7" s="1" t="str">
        <f>IFERROR(__xludf.DUMMYFUNCTION("GOOGLETRANSLATE(F7, ""de"", ""en"")"),"Helene Fischer (*1984) grew up in Wöllstein and became the most successful German pop singer. Hits like “Breathless through the Night” and numerous awards shape her career.")</f>
        <v>Helene Fischer (*1984) grew up in Wöllstein and became the most successful German pop singer. Hits like “Breathless through the Night” and numerous awards shape her career.</v>
      </c>
    </row>
    <row r="8">
      <c r="A8" s="1">
        <v>7.0</v>
      </c>
      <c r="B8" s="1" t="s">
        <v>24</v>
      </c>
      <c r="C8" s="1" t="s">
        <v>25</v>
      </c>
      <c r="D8" s="1">
        <v>501389.0</v>
      </c>
      <c r="E8" s="1">
        <v>77089.0</v>
      </c>
      <c r="F8" s="1" t="s">
        <v>26</v>
      </c>
      <c r="G8" s="1" t="str">
        <f>IFERROR(__xludf.DUMMYFUNCTION("GOOGLETRANSLATE(F8, ""de"", ""en"")"),"The 132 meter high Loreley Rock on the Rhine is shrouded in legend: a mermaid is said to have lured boatmen to their doom with her singing. Today the viewpoint is part of the Upper Middle Rhine Valley UNESCO World Heritage Site.")</f>
        <v>The 132 meter high Loreley Rock on the Rhine is shrouded in legend: a mermaid is said to have lured boatmen to their doom with her singing. Today the viewpoint is part of the Upper Middle Rhine Valley UNESCO World Heritage Site.</v>
      </c>
    </row>
    <row r="9">
      <c r="A9" s="1">
        <v>8.0</v>
      </c>
      <c r="B9" s="1" t="s">
        <v>27</v>
      </c>
      <c r="C9" s="1" t="s">
        <v>28</v>
      </c>
      <c r="D9" s="1">
        <v>501172.0</v>
      </c>
      <c r="E9" s="1">
        <v>76071.0</v>
      </c>
      <c r="F9" s="1" t="s">
        <v>29</v>
      </c>
      <c r="G9" s="1" t="str">
        <f>IFERROR(__xludf.DUMMYFUNCTION("GOOGLETRANSLATE(F9, ""de"", ""en"")"),"Riesling vines grow on steep slate slopes on the Rhine loop near Boppard. The Bopparder Hamm has documented the wine-growing tradition of the Middle Rhine for centuries.")</f>
        <v>Riesling vines grow on steep slate slopes on the Rhine loop near Boppard. The Bopparder Hamm has documented the wine-growing tradition of the Middle Rhine for centuries.</v>
      </c>
    </row>
    <row r="10">
      <c r="A10" s="1">
        <v>9.0</v>
      </c>
      <c r="B10" s="1" t="s">
        <v>30</v>
      </c>
      <c r="C10" s="1" t="s">
        <v>31</v>
      </c>
      <c r="D10" s="1">
        <v>503569.0</v>
      </c>
      <c r="E10" s="1">
        <v>75881.0</v>
      </c>
      <c r="F10" s="1" t="s">
        <v>32</v>
      </c>
      <c r="G10" s="1" t="str">
        <f>IFERROR(__xludf.DUMMYFUNCTION("GOOGLETRANSLATE(F10, ""de"", ""en"")"),"The Moselle and Rhine flow together at the Deutsches Eck. The equestrian statue of Kaiser Wilhelm I (1897) commemorates the founding of the empire and became a symbol of German unity after 1945.")</f>
        <v>The Moselle and Rhine flow together at the Deutsches Eck. The equestrian statue of Kaiser Wilhelm I (1897) commemorates the founding of the empire and became a symbol of German unity after 1945.</v>
      </c>
    </row>
    <row r="11">
      <c r="A11" s="1">
        <v>10.0</v>
      </c>
      <c r="B11" s="1" t="s">
        <v>33</v>
      </c>
      <c r="C11" s="1" t="s">
        <v>34</v>
      </c>
      <c r="D11" s="1">
        <v>503341.0</v>
      </c>
      <c r="E11" s="1">
        <v>69476.0</v>
      </c>
      <c r="F11" s="1" t="s">
        <v>35</v>
      </c>
      <c r="G11" s="1" t="str">
        <f>IFERROR(__xludf.DUMMYFUNCTION("GOOGLETRANSLATE(F11, ""de"", ""en"")"),"Germany's highways are known for their lack of speed limits. On the Nordschleife of the Nürburgring, drivers can legally experience high speeds - a controlled counterpart to the rush of the motorway.")</f>
        <v>Germany's highways are known for their lack of speed limits. On the Nordschleife of the Nürburgring, drivers can legally experience high speeds - a controlled counterpart to the rush of the motorway.</v>
      </c>
    </row>
    <row r="12">
      <c r="A12" s="1">
        <v>11.0</v>
      </c>
      <c r="B12" s="1" t="s">
        <v>36</v>
      </c>
      <c r="C12" s="1" t="s">
        <v>37</v>
      </c>
      <c r="D12" s="1">
        <v>507368.0</v>
      </c>
      <c r="E12" s="1">
        <v>7101.0</v>
      </c>
      <c r="F12" s="1" t="s">
        <v>38</v>
      </c>
      <c r="G12" s="1" t="str">
        <f>IFERROR(__xludf.DUMMYFUNCTION("GOOGLETRANSLATE(F12, ""de"", ""en"")"),"Ludwig van Beethoven (1770–1827) was born in Bonn. The house where he was born preserves the original instruments and manuscripts of the composer, whose works continue to shape classical music today.")</f>
        <v>Ludwig van Beethoven (1770–1827) was born in Bonn. The house where he was born preserves the original instruments and manuscripts of the composer, whose works continue to shape classical music today.</v>
      </c>
    </row>
    <row r="13">
      <c r="A13" s="1">
        <v>12.0</v>
      </c>
      <c r="B13" s="1" t="s">
        <v>39</v>
      </c>
      <c r="C13" s="1" t="s">
        <v>40</v>
      </c>
      <c r="D13" s="1">
        <v>509403.0</v>
      </c>
      <c r="E13" s="1">
        <v>6957.0</v>
      </c>
      <c r="F13" s="1" t="s">
        <v>41</v>
      </c>
      <c r="G13" s="1" t="str">
        <f>IFERROR(__xludf.DUMMYFUNCTION("GOOGLETRANSLATE(F13, ""de"", ""en"")"),"The Cologne Carnival, organized since 1823, transforms the city into a colorful folk festival from November 11th to Ash Wednesday. The highlight is the Rose Monday parade with hundreds of thousands of costumed jesters.")</f>
        <v>The Cologne Carnival, organized since 1823, transforms the city into a colorful folk festival from November 11th to Ash Wednesday. The highlight is the Rose Monday parade with hundreds of thousands of costumed jesters.</v>
      </c>
    </row>
    <row r="14">
      <c r="A14" s="1">
        <v>13.0</v>
      </c>
      <c r="B14" s="1" t="s">
        <v>42</v>
      </c>
      <c r="C14" s="1" t="s">
        <v>43</v>
      </c>
      <c r="D14" s="1">
        <v>509413.0</v>
      </c>
      <c r="E14" s="1">
        <v>69583.0</v>
      </c>
      <c r="F14" s="1" t="s">
        <v>44</v>
      </c>
      <c r="G14" s="1" t="str">
        <f>IFERROR(__xludf.DUMMYFUNCTION("GOOGLETRANSLATE(F14, ""de"", ""en"")"),"Konrad Adenauer (1876–1967) was the mayor of Cologne and the first chancellor of the Federal Republic. His home in Rhöndorf tells of his commitment to reconstruction and ties to the West.")</f>
        <v>Konrad Adenauer (1876–1967) was the mayor of Cologne and the first chancellor of the Federal Republic. His home in Rhöndorf tells of his commitment to reconstruction and ties to the West.</v>
      </c>
    </row>
    <row r="15">
      <c r="A15" s="1">
        <v>14.0</v>
      </c>
      <c r="B15" s="1" t="s">
        <v>45</v>
      </c>
      <c r="C15" s="1" t="s">
        <v>46</v>
      </c>
      <c r="D15" s="1">
        <v>512275.0</v>
      </c>
      <c r="E15" s="1">
        <v>6937.0</v>
      </c>
      <c r="F15" s="1" t="s">
        <v>47</v>
      </c>
      <c r="G15" s="1" t="str">
        <f>IFERROR(__xludf.DUMMYFUNCTION("GOOGLETRANSLATE(F15, ""de"", ""en"")"),"The Neanderthal skull found in 1856 revolutionized the understanding of human evolution. The Neanderthal Museum illustrates the history of our fossil relatives.")</f>
        <v>The Neanderthal skull found in 1856 revolutionized the understanding of human evolution. The Neanderthal Museum illustrates the history of our fossil relatives.</v>
      </c>
    </row>
    <row r="16">
      <c r="A16" s="1">
        <v>15.0</v>
      </c>
      <c r="B16" s="1" t="s">
        <v>48</v>
      </c>
      <c r="C16" s="1" t="s">
        <v>49</v>
      </c>
      <c r="D16" s="1">
        <v>512277.0</v>
      </c>
      <c r="E16" s="1">
        <v>67735.0</v>
      </c>
      <c r="F16" s="1" t="s">
        <v>50</v>
      </c>
      <c r="G16" s="1" t="str">
        <f>IFERROR(__xludf.DUMMYFUNCTION("GOOGLETRANSLATE(F16, ""de"", ""en"")"),"Düsseldorf combines old town, fashion and trade fair culture with modern architecture in the media harbor. The Rhine Tower offers a panoramic view of the Rhine metropolis and its art and shopping scene.")</f>
        <v>Düsseldorf combines old town, fashion and trade fair culture with modern architecture in the media harbor. The Rhine Tower offers a panoramic view of the Rhine metropolis and its art and shopping scene.</v>
      </c>
    </row>
    <row r="17">
      <c r="A17" s="1">
        <v>16.0</v>
      </c>
      <c r="B17" s="1" t="s">
        <v>51</v>
      </c>
      <c r="C17" s="1" t="s">
        <v>52</v>
      </c>
      <c r="D17" s="1">
        <v>514344.0</v>
      </c>
      <c r="E17" s="1">
        <v>67573.0</v>
      </c>
      <c r="F17" s="1" t="s">
        <v>53</v>
      </c>
      <c r="G17" s="1" t="str">
        <f>IFERROR(__xludf.DUMMYFUNCTION("GOOGLETRANSLATE(F17, ""de"", ""en"")"),"The Duisburg inner harbor, once a storage and trading port, was transformed into a cultural and office district. Restored granaries and museums show the successful structural change from steel to culture.")</f>
        <v>The Duisburg inner harbor, once a storage and trading port, was transformed into a cultural and office district. Restored granaries and museums show the successful structural change from steel to culture.</v>
      </c>
    </row>
    <row r="18">
      <c r="A18" s="1">
        <v>17.0</v>
      </c>
      <c r="B18" s="1" t="s">
        <v>54</v>
      </c>
      <c r="C18" s="1" t="s">
        <v>55</v>
      </c>
      <c r="D18" s="1">
        <v>514839.0</v>
      </c>
      <c r="E18" s="1">
        <v>70226.0</v>
      </c>
      <c r="F18" s="1" t="s">
        <v>56</v>
      </c>
      <c r="G18" s="1" t="str">
        <f>IFERROR(__xludf.DUMMYFUNCTION("GOOGLETRANSLATE(F18, ""de"", ""en"")"),"The disused Zollverein mine, a Bauhaus industrial ensemble, is a UNESCO World Heritage Site. Exhibitions and events bring the mining history of the Ruhr area to life.")</f>
        <v>The disused Zollverein mine, a Bauhaus industrial ensemble, is a UNESCO World Heritage Site. Exhibitions and events bring the mining history of the Ruhr area to life.</v>
      </c>
    </row>
    <row r="19">
      <c r="A19" s="1">
        <v>18.0</v>
      </c>
      <c r="B19" s="1" t="s">
        <v>57</v>
      </c>
      <c r="C19" s="1" t="s">
        <v>58</v>
      </c>
      <c r="D19" s="1">
        <v>5149.0</v>
      </c>
      <c r="E19" s="1">
        <v>70375.0</v>
      </c>
      <c r="F19" s="1" t="s">
        <v>59</v>
      </c>
      <c r="G19" s="1" t="str">
        <f>IFERROR(__xludf.DUMMYFUNCTION("GOOGLETRANSLATE(F19, ""de"", ""en"")"),"The Zollverein coking plant processed coal into coke until 1993 and is now part of the world cultural heritage. Visitors explore the winding towers, furnaces and viewing platforms of an outstanding industrial monument.")</f>
        <v>The Zollverein coking plant processed coal into coke until 1993 and is now part of the world cultural heritage. Visitors explore the winding towers, furnaces and viewing platforms of an outstanding industrial monument.</v>
      </c>
    </row>
    <row r="20">
      <c r="A20" s="1">
        <v>19.0</v>
      </c>
      <c r="B20" s="1" t="s">
        <v>60</v>
      </c>
      <c r="C20" s="1" t="s">
        <v>61</v>
      </c>
      <c r="D20" s="1">
        <v>514925.0</v>
      </c>
      <c r="E20" s="1">
        <v>74517.0</v>
      </c>
      <c r="F20" s="1" t="s">
        <v>62</v>
      </c>
      <c r="G20" s="1" t="str">
        <f>IFERROR(__xludf.DUMMYFUNCTION("GOOGLETRANSLATE(F20, ""de"", ""en"")"),"Borussia Dortmund's stadium with the legendary “Yellow Wall” represents the fan culture of the Bundesliga, which has thrilled millions since 1963.")</f>
        <v>Borussia Dortmund's stadium with the legendary “Yellow Wall” represents the fan culture of the Bundesliga, which has thrilled millions since 1963.</v>
      </c>
    </row>
    <row r="21" ht="15.75" customHeight="1">
      <c r="A21" s="1">
        <v>20.0</v>
      </c>
      <c r="B21" s="1" t="s">
        <v>63</v>
      </c>
      <c r="C21" s="1" t="s">
        <v>64</v>
      </c>
      <c r="D21" s="1">
        <v>519628.0</v>
      </c>
      <c r="E21" s="1">
        <v>76254.0</v>
      </c>
      <c r="F21" s="1" t="s">
        <v>65</v>
      </c>
      <c r="G21" s="1" t="str">
        <f>IFERROR(__xludf.DUMMYFUNCTION("GOOGLETRANSLATE(F21, ""de"", ""en"")"),"Münster's principal market with gabled houses and arcades, town hall and Lambertikirche combines medieval architecture and reconstruction. Bicycles and the history of peace characterize the cityscape.")</f>
        <v>Münster's principal market with gabled houses and arcades, town hall and Lambertikirche combines medieval architecture and reconstruction. Bicycles and the history of peace characterize the cityscape.</v>
      </c>
    </row>
    <row r="22" ht="15.75" customHeight="1">
      <c r="A22" s="1">
        <v>21.0</v>
      </c>
      <c r="B22" s="1" t="s">
        <v>66</v>
      </c>
      <c r="C22" s="1" t="s">
        <v>67</v>
      </c>
      <c r="D22" s="1">
        <v>520302.0</v>
      </c>
      <c r="E22" s="1">
        <v>85325.0</v>
      </c>
      <c r="F22" s="1" t="s">
        <v>68</v>
      </c>
      <c r="G22" s="1" t="str">
        <f>IFERROR(__xludf.DUMMYFUNCTION("GOOGLETRANSLATE(F22, ""de"", ""en"")"),"The medieval Sparrenburg towers over Bielefeld on the edge of the Teutoburg Forest, which is historically known for the Battle of Varus (9 AD).")</f>
        <v>The medieval Sparrenburg towers over Bielefeld on the edge of the Teutoburg Forest, which is historically known for the Battle of Varus (9 AD).</v>
      </c>
    </row>
    <row r="23" ht="15.75" customHeight="1">
      <c r="A23" s="1">
        <v>22.0</v>
      </c>
      <c r="B23" s="1" t="s">
        <v>69</v>
      </c>
      <c r="C23" s="1" t="s">
        <v>70</v>
      </c>
      <c r="D23" s="1">
        <v>523759.0</v>
      </c>
      <c r="E23" s="1">
        <v>9732.0</v>
      </c>
      <c r="F23" s="1" t="s">
        <v>71</v>
      </c>
      <c r="G23" s="1" t="str">
        <f>IFERROR(__xludf.DUMMYFUNCTION("GOOGLETRANSLATE(F23, ""de"", ""en"")"),"Hanover's Wilhelmine New Town Hall (1913) symbolizes the reconstruction of the city, which is now a trade fair location and a green city with the Herrenhausen Gardens.")</f>
        <v>Hanover's Wilhelmine New Town Hall (1913) symbolizes the reconstruction of the city, which is now a trade fair location and a green city with the Herrenhausen Gardens.</v>
      </c>
    </row>
    <row r="24" ht="15.75" customHeight="1">
      <c r="A24" s="1">
        <v>23.0</v>
      </c>
      <c r="B24" s="1" t="s">
        <v>72</v>
      </c>
      <c r="C24" s="1" t="s">
        <v>73</v>
      </c>
      <c r="D24" s="1">
        <v>523759.0</v>
      </c>
      <c r="E24" s="1">
        <v>9732.0</v>
      </c>
      <c r="F24" s="1" t="s">
        <v>74</v>
      </c>
      <c r="G24" s="1" t="str">
        <f>IFERROR(__xludf.DUMMYFUNCTION("GOOGLETRANSLATE(F24, ""de"", ""en"")"),"The political theorist Hannah Arendt (1906–1975) was born in Hanover. Hannah-Arendt-Platz is a reminder of democracy, freedom and responsibility.")</f>
        <v>The political theorist Hannah Arendt (1906–1975) was born in Hanover. Hannah-Arendt-Platz is a reminder of democracy, freedom and responsibility.</v>
      </c>
    </row>
    <row r="25" ht="15.75" customHeight="1">
      <c r="A25" s="1">
        <v>24.0</v>
      </c>
      <c r="B25" s="1" t="s">
        <v>75</v>
      </c>
      <c r="C25" s="1" t="s">
        <v>76</v>
      </c>
      <c r="D25" s="1">
        <v>523728.0</v>
      </c>
      <c r="E25" s="1">
        <v>97441.0</v>
      </c>
      <c r="F25" s="1" t="s">
        <v>77</v>
      </c>
      <c r="G25" s="1" t="str">
        <f>IFERROR(__xludf.DUMMYFUNCTION("GOOGLETRANSLATE(F25, ""de"", ""en"")"),"Expo 2000 was the first world exhibition in Germany. Pavilions and new buildings in the Expo Park are reminiscent of innovative concepts about people, nature and technology.")</f>
        <v>Expo 2000 was the first world exhibition in Germany. Pavilions and new buildings in the Expo Park are reminiscent of innovative concepts about people, nature and technology.</v>
      </c>
    </row>
    <row r="26" ht="15.75" customHeight="1">
      <c r="A26" s="1">
        <v>25.0</v>
      </c>
      <c r="B26" s="1" t="s">
        <v>78</v>
      </c>
      <c r="C26" s="1" t="s">
        <v>79</v>
      </c>
      <c r="D26" s="1">
        <v>523909.0</v>
      </c>
      <c r="E26" s="1">
        <v>97335.0</v>
      </c>
      <c r="F26" s="1" t="s">
        <v>80</v>
      </c>
      <c r="G26" s="1" t="str">
        <f>IFERROR(__xludf.DUMMYFUNCTION("GOOGLETRANSLATE(F26, ""de"", ""en"")"),"The reconstructed Herrenhausen Palace is located in the middle of the famous baroque Herrenhausen Gardens with water features and a botanical mountain garden.")</f>
        <v>The reconstructed Herrenhausen Palace is located in the middle of the famous baroque Herrenhausen Gardens with water features and a botanical mountain garden.</v>
      </c>
    </row>
    <row r="27" ht="15.75" customHeight="1">
      <c r="A27" s="1">
        <v>26.0</v>
      </c>
      <c r="B27" s="1" t="s">
        <v>81</v>
      </c>
      <c r="C27" s="1" t="s">
        <v>81</v>
      </c>
      <c r="D27" s="1">
        <v>522689.0</v>
      </c>
      <c r="E27" s="1">
        <v>105268.0</v>
      </c>
      <c r="F27" s="1" t="s">
        <v>82</v>
      </c>
      <c r="G27" s="1" t="str">
        <f>IFERROR(__xludf.DUMMYFUNCTION("GOOGLETRANSLATE(F27, ""de"", ""en"")"),"The facade of the Guelph Castle, which was destroyed in the war, was placed in front of a modern shopping and cultural center in 2007 - an example of tradition in a new guise.")</f>
        <v>The facade of the Guelph Castle, which was destroyed in the war, was placed in front of a modern shopping and cultural center in 2007 - an example of tradition in a new guise.</v>
      </c>
    </row>
    <row r="28" ht="15.75" customHeight="1">
      <c r="A28" s="1">
        <v>27.0</v>
      </c>
      <c r="B28" s="1" t="s">
        <v>83</v>
      </c>
      <c r="C28" s="1" t="s">
        <v>84</v>
      </c>
      <c r="D28" s="1">
        <v>524224.0</v>
      </c>
      <c r="E28" s="1">
        <v>107864.0</v>
      </c>
      <c r="F28" s="1" t="s">
        <v>85</v>
      </c>
      <c r="G28" s="1" t="str">
        <f>IFERROR(__xludf.DUMMYFUNCTION("GOOGLETRANSLATE(F28, ""de"", ""en"")"),"The Phaeno Science Center, designed by Zaha Hadid, stages natural phenomena interactively. It complements Wolfsburg's Autostadt and VW's history with scientific experiences.")</f>
        <v>The Phaeno Science Center, designed by Zaha Hadid, stages natural phenomena interactively. It complements Wolfsburg's Autostadt and VW's history with scientific experiences.</v>
      </c>
    </row>
    <row r="29" ht="15.75" customHeight="1">
      <c r="A29" s="1">
        <v>28.0</v>
      </c>
      <c r="B29" s="1" t="s">
        <v>86</v>
      </c>
      <c r="C29" s="1" t="s">
        <v>87</v>
      </c>
      <c r="D29" s="1">
        <v>524225.0</v>
      </c>
      <c r="E29" s="1">
        <v>107864.0</v>
      </c>
      <c r="F29" s="1" t="s">
        <v>88</v>
      </c>
      <c r="G29" s="1" t="str">
        <f>IFERROR(__xludf.DUMMYFUNCTION("GOOGLETRANSLATE(F29, ""de"", ""en"")"),"Founded in 1938 as a location for the VW Beetle, Wolfsburg's Autostadt tells the history of the company and the automobile with pavilions and vintage cars.")</f>
        <v>Founded in 1938 as a location for the VW Beetle, Wolfsburg's Autostadt tells the history of the company and the automobile with pavilions and vintage cars.</v>
      </c>
    </row>
    <row r="30" ht="15.75" customHeight="1">
      <c r="A30" s="1">
        <v>29.0</v>
      </c>
      <c r="B30" s="1" t="s">
        <v>89</v>
      </c>
      <c r="C30" s="1" t="s">
        <v>90</v>
      </c>
      <c r="D30" s="1">
        <v>519045.0</v>
      </c>
      <c r="E30" s="1">
        <v>104297.0</v>
      </c>
      <c r="F30" s="1" t="s">
        <v>91</v>
      </c>
      <c r="G30" s="1" t="str">
        <f>IFERROR(__xludf.DUMMYFUNCTION("GOOGLETRANSLATE(F30, ""de"", ""en"")"),"The half-timbered old town of Goslar and the Rammelsberg ore mine form a shared UNESCO World Heritage site: a millennium of Harz ore mining meets a medieval imperial city.")</f>
        <v>The half-timbered old town of Goslar and the Rammelsberg ore mine form a shared UNESCO World Heritage site: a millennium of Harz ore mining meets a medieval imperial city.</v>
      </c>
    </row>
    <row r="31" ht="15.75" customHeight="1">
      <c r="A31" s="1">
        <v>30.0</v>
      </c>
      <c r="B31" s="1" t="s">
        <v>92</v>
      </c>
      <c r="C31" s="1" t="s">
        <v>93</v>
      </c>
      <c r="D31" s="1">
        <v>515403.0</v>
      </c>
      <c r="E31" s="1">
        <v>99357.0</v>
      </c>
      <c r="F31" s="1" t="s">
        <v>94</v>
      </c>
      <c r="G31" s="1" t="str">
        <f>IFERROR(__xludf.DUMMYFUNCTION("GOOGLETRANSLATE(F31, ""de"", ""en"")"),"The University of Göttingen has shaped the city since 1737. The Gänseliesel Fountain is considered the “most kissed girl in the world” because newly graduated doctoral students kiss the statue.")</f>
        <v>The University of Göttingen has shaped the city since 1737. The Gänseliesel Fountain is considered the “most kissed girl in the world” because newly graduated doctoral students kiss the statue.</v>
      </c>
    </row>
    <row r="32" ht="15.75" customHeight="1">
      <c r="A32" s="1">
        <v>31.0</v>
      </c>
      <c r="B32" s="1" t="s">
        <v>95</v>
      </c>
      <c r="C32" s="1" t="s">
        <v>96</v>
      </c>
      <c r="D32" s="1">
        <v>513155.0</v>
      </c>
      <c r="E32" s="1">
        <v>94962.0</v>
      </c>
      <c r="F32" s="1" t="s">
        <v>97</v>
      </c>
      <c r="G32" s="1" t="str">
        <f>IFERROR(__xludf.DUMMYFUNCTION("GOOGLETRANSLATE(F32, ""de"", ""en"")"),"Jacob and Wilhelm Grimm collected their world-famous fairy tales in Kassel. The Grimm World presents manuscripts and linguistic heritage.")</f>
        <v>Jacob and Wilhelm Grimm collected their world-famous fairy tales in Kassel. The Grimm World presents manuscripts and linguistic heritage.</v>
      </c>
    </row>
    <row r="33" ht="15.75" customHeight="1">
      <c r="A33" s="1">
        <v>32.0</v>
      </c>
      <c r="B33" s="1" t="s">
        <v>98</v>
      </c>
      <c r="C33" s="1" t="s">
        <v>99</v>
      </c>
      <c r="D33" s="1">
        <v>513118.0</v>
      </c>
      <c r="E33" s="1">
        <v>9497.0</v>
      </c>
      <c r="F33" s="1" t="s">
        <v>100</v>
      </c>
      <c r="G33" s="1" t="str">
        <f>IFERROR(__xludf.DUMMYFUNCTION("GOOGLETRANSLATE(F33, ""de"", ""en"")"),"The documenta, which takes place every five years, makes Kassel the world capital of contemporary art and transforms the city into a huge open-air museum.")</f>
        <v>The documenta, which takes place every five years, makes Kassel the world capital of contemporary art and transforms the city into a huge open-air museum.</v>
      </c>
    </row>
    <row r="34" ht="15.75" customHeight="1">
      <c r="A34" s="1">
        <v>33.0</v>
      </c>
      <c r="B34" s="1" t="s">
        <v>101</v>
      </c>
      <c r="C34" s="1" t="s">
        <v>102</v>
      </c>
      <c r="D34" s="1">
        <v>513116.0</v>
      </c>
      <c r="E34" s="1">
        <v>94797.0</v>
      </c>
      <c r="F34" s="1" t="s">
        <v>103</v>
      </c>
      <c r="G34" s="1" t="str">
        <f>IFERROR(__xludf.DUMMYFUNCTION("GOOGLETRANSLATE(F34, ""de"", ""en"")"),"Europe's largest hillside park with a Hercules statue and baroque water features is a UNESCO World Heritage Site and a testament to the landgrave's garden art.")</f>
        <v>Europe's largest hillside park with a Hercules statue and baroque water features is a UNESCO World Heritage Site and a testament to the landgrave's garden art.</v>
      </c>
    </row>
    <row r="35" ht="15.75" customHeight="1">
      <c r="A35" s="1">
        <v>34.0</v>
      </c>
      <c r="B35" s="1" t="s">
        <v>104</v>
      </c>
      <c r="C35" s="1" t="s">
        <v>105</v>
      </c>
      <c r="D35" s="1">
        <v>509711.0</v>
      </c>
      <c r="E35" s="1">
        <v>103277.0</v>
      </c>
      <c r="F35" s="1" t="s">
        <v>106</v>
      </c>
      <c r="G35" s="1" t="str">
        <f>IFERROR(__xludf.DUMMYFUNCTION("GOOGLETRANSLATE(F35, ""de"", ""en"")"),"In 1817, students at the Wartburg demanded national unity and civil liberties. The castle is also famous for Luther's translation of the Bible.")</f>
        <v>In 1817, students at the Wartburg demanded national unity and civil liberties. The castle is also famous for Luther's translation of the Bible.</v>
      </c>
    </row>
    <row r="36" ht="15.75" customHeight="1">
      <c r="A36" s="1">
        <v>35.0</v>
      </c>
      <c r="B36" s="1" t="s">
        <v>107</v>
      </c>
      <c r="C36" s="1" t="s">
        <v>108</v>
      </c>
      <c r="D36" s="1">
        <v>509848.0</v>
      </c>
      <c r="E36" s="1">
        <v>110299.0</v>
      </c>
      <c r="F36" s="1" t="s">
        <v>109</v>
      </c>
      <c r="G36" s="1" t="str">
        <f>IFERROR(__xludf.DUMMYFUNCTION("GOOGLETRANSLATE(F36, ""de"", ""en"")"),"The Gothic Erfurt Cathedral houses the Gloriosa, the largest free-swinging medieval bell. Martin Luther was ordained a priest here in 1507.")</f>
        <v>The Gothic Erfurt Cathedral houses the Gloriosa, the largest free-swinging medieval bell. Martin Luther was ordained a priest here in 1507.</v>
      </c>
    </row>
    <row r="37" ht="15.75" customHeight="1">
      <c r="A37" s="1">
        <v>36.0</v>
      </c>
      <c r="B37" s="1" t="s">
        <v>110</v>
      </c>
      <c r="C37" s="1" t="s">
        <v>111</v>
      </c>
      <c r="D37" s="1">
        <v>509795.0</v>
      </c>
      <c r="E37" s="1">
        <v>11329.0</v>
      </c>
      <c r="F37" s="1" t="s">
        <v>112</v>
      </c>
      <c r="G37" s="1" t="str">
        <f>IFERROR(__xludf.DUMMYFUNCTION("GOOGLETRANSLATE(F37, ""de"", ""en"")"),"Goethe's home shows original rooms and collections of the poet, who together with Schiller shaped the Weimar Classicism.")</f>
        <v>Goethe's home shows original rooms and collections of the poet, who together with Schiller shaped the Weimar Classicism.</v>
      </c>
    </row>
    <row r="38" ht="15.75" customHeight="1">
      <c r="A38" s="1">
        <v>37.0</v>
      </c>
      <c r="B38" s="1" t="s">
        <v>113</v>
      </c>
      <c r="C38" s="1" t="s">
        <v>114</v>
      </c>
      <c r="D38" s="1">
        <v>509793.0</v>
      </c>
      <c r="E38" s="1">
        <v>113292.0</v>
      </c>
      <c r="F38" s="1" t="s">
        <v>115</v>
      </c>
      <c r="G38" s="1" t="str">
        <f>IFERROR(__xludf.DUMMYFUNCTION("GOOGLETRANSLATE(F38, ""de"", ""en"")"),"The currency devaluation of the Weimar Republic reached its peak in 1923: prices exploded, savings collapsed - a trauma in German economic history.")</f>
        <v>The currency devaluation of the Weimar Republic reached its peak in 1923: prices exploded, savings collapsed - a trauma in German economic history.</v>
      </c>
    </row>
    <row r="39" ht="15.75" customHeight="1">
      <c r="A39" s="1">
        <v>38.0</v>
      </c>
      <c r="B39" s="1" t="s">
        <v>116</v>
      </c>
      <c r="C39" s="1" t="s">
        <v>117</v>
      </c>
      <c r="D39" s="1">
        <v>505451.0</v>
      </c>
      <c r="E39" s="1">
        <v>112147.0</v>
      </c>
      <c r="F39" s="1" t="s">
        <v>118</v>
      </c>
      <c r="G39" s="1" t="str">
        <f>IFERROR(__xludf.DUMMYFUNCTION("GOOGLETRANSLATE(F39, ""de"", ""en"")"),"The 170 km long Rennsteig Kammweg is the oldest long-distance hiking trail in Germany and connects cultural and natural landscapes of the Thuringian Forest.")</f>
        <v>The 170 km long Rennsteig Kammweg is the oldest long-distance hiking trail in Germany and connects cultural and natural landscapes of the Thuringian Forest.</v>
      </c>
    </row>
    <row r="40" ht="15.75" customHeight="1">
      <c r="A40" s="1">
        <v>39.0</v>
      </c>
      <c r="B40" s="1" t="s">
        <v>119</v>
      </c>
      <c r="C40" s="1" t="s">
        <v>120</v>
      </c>
      <c r="D40" s="1">
        <v>505477.0</v>
      </c>
      <c r="E40" s="1">
        <v>111681.0</v>
      </c>
      <c r="F40" s="1" t="s">
        <v>121</v>
      </c>
      <c r="G40" s="1" t="str">
        <f>IFERROR(__xludf.DUMMYFUNCTION("GOOGLETRANSLATE(F40, ""de"", ""en"")"),"Lauscha is considered the birthplace of the glass Christmas tree ball. Family businesses have been cultivating the art of glass blowing here since 1597.")</f>
        <v>Lauscha is considered the birthplace of the glass Christmas tree ball. Family businesses have been cultivating the art of glass blowing here since 1597.</v>
      </c>
    </row>
    <row r="41" ht="15.75" customHeight="1">
      <c r="A41" s="1">
        <v>40.0</v>
      </c>
      <c r="B41" s="1" t="s">
        <v>122</v>
      </c>
      <c r="C41" s="1" t="s">
        <v>123</v>
      </c>
      <c r="D41" s="1">
        <v>502599.0</v>
      </c>
      <c r="E41" s="1">
        <v>109644.0</v>
      </c>
      <c r="F41" s="1" t="s">
        <v>124</v>
      </c>
      <c r="G41" s="1" t="str">
        <f>IFERROR(__xludf.DUMMYFUNCTION("GOOGLETRANSLATE(F41, ""de"", ""en"")"),"The Veste Coburg, one of the largest castles in Germany, houses art collections and was Luther's place of refuge in 1530.")</f>
        <v>The Veste Coburg, one of the largest castles in Germany, houses art collections and was Luther's place of refuge in 1530.</v>
      </c>
    </row>
    <row r="42" ht="15.75" customHeight="1">
      <c r="A42" s="1">
        <v>41.0</v>
      </c>
      <c r="B42" s="1" t="s">
        <v>125</v>
      </c>
      <c r="C42" s="1" t="s">
        <v>126</v>
      </c>
      <c r="D42" s="1">
        <v>501011.0</v>
      </c>
      <c r="E42" s="1">
        <v>11438.0</v>
      </c>
      <c r="F42" s="1" t="s">
        <v>127</v>
      </c>
      <c r="G42" s="1" t="str">
        <f>IFERROR(__xludf.DUMMYFUNCTION("GOOGLETRANSLATE(F42, ""de"", ""en"")"),"Kulmbach presents strong beer and Eisbock traditions in the Bavarian Brewery Museum and celebrates Beer Week every year.")</f>
        <v>Kulmbach presents strong beer and Eisbock traditions in the Bavarian Brewery Museum and celebrates Beer Week every year.</v>
      </c>
    </row>
    <row r="43" ht="15.75" customHeight="1">
      <c r="A43" s="1">
        <v>42.0</v>
      </c>
      <c r="B43" s="1" t="s">
        <v>128</v>
      </c>
      <c r="C43" s="1" t="s">
        <v>129</v>
      </c>
      <c r="D43" s="1">
        <v>501011.0</v>
      </c>
      <c r="E43" s="1">
        <v>11438.0</v>
      </c>
      <c r="F43" s="1" t="s">
        <v>130</v>
      </c>
      <c r="G43" s="1" t="str">
        <f>IFERROR(__xludf.DUMMYFUNCTION("GOOGLETRANSLATE(F43, ""de"", ""en"")"),"Franconian brewing art with purity law: Kulmbacher strong beers enjoy an international reputation and shape local identity.")</f>
        <v>Franconian brewing art with purity law: Kulmbacher strong beers enjoy an international reputation and shape local identity.</v>
      </c>
    </row>
    <row r="44" ht="15.75" customHeight="1">
      <c r="A44" s="1">
        <v>43.0</v>
      </c>
      <c r="B44" s="1" t="s">
        <v>131</v>
      </c>
      <c r="C44" s="1" t="s">
        <v>132</v>
      </c>
      <c r="D44" s="1">
        <v>499487.0</v>
      </c>
      <c r="E44" s="1">
        <v>11576.0</v>
      </c>
      <c r="F44" s="1" t="s">
        <v>133</v>
      </c>
      <c r="G44" s="1" t="str">
        <f>IFERROR(__xludf.DUMMYFUNCTION("GOOGLETRANSLATE(F44, ""de"", ""en"")"),"The Margravial Opera House (1748) is a completely preserved baroque theater and a UNESCO World Heritage Site - a jewel of courtly festival culture.")</f>
        <v>The Margravial Opera House (1748) is a completely preserved baroque theater and a UNESCO World Heritage Site - a jewel of courtly festival culture.</v>
      </c>
    </row>
    <row r="45" ht="15.75" customHeight="1">
      <c r="A45" s="1">
        <v>44.0</v>
      </c>
      <c r="B45" s="1" t="s">
        <v>134</v>
      </c>
      <c r="C45" s="1" t="s">
        <v>135</v>
      </c>
      <c r="D45" s="1">
        <v>499451.0</v>
      </c>
      <c r="E45" s="1">
        <v>115908.0</v>
      </c>
      <c r="F45" s="1" t="s">
        <v>136</v>
      </c>
      <c r="G45" s="1" t="str">
        <f>IFERROR(__xludf.DUMMYFUNCTION("GOOGLETRANSLATE(F45, ""de"", ""en"")"),"The festival hall, which opened in 1876 and is acoustically designed for Wagner's musical dramas, attracts opera lovers from all over the world to the Bayreuth Festival.")</f>
        <v>The festival hall, which opened in 1876 and is acoustically designed for Wagner's musical dramas, attracts opera lovers from all over the world to the Bayreuth Festival.</v>
      </c>
    </row>
    <row r="46" ht="15.75" customHeight="1">
      <c r="A46" s="1">
        <v>45.0</v>
      </c>
      <c r="B46" s="1" t="s">
        <v>137</v>
      </c>
      <c r="C46" s="1" t="s">
        <v>138</v>
      </c>
      <c r="D46" s="1">
        <v>497631.0</v>
      </c>
      <c r="E46" s="1">
        <v>114062.0</v>
      </c>
      <c r="F46" s="1" t="s">
        <v>139</v>
      </c>
      <c r="G46" s="1" t="str">
        <f>IFERROR(__xludf.DUMMYFUNCTION("GOOGLETRANSLATE(F46, ""de"", ""en"")"),"The rugged karst landscape with stalactite caves and castle ruins has been a popular hiking and climbing area since the 19th century.")</f>
        <v>The rugged karst landscape with stalactite caves and castle ruins has been a popular hiking and climbing area since the 19th century.</v>
      </c>
    </row>
    <row r="47" ht="15.75" customHeight="1">
      <c r="A47" s="1">
        <v>46.0</v>
      </c>
      <c r="B47" s="1" t="s">
        <v>140</v>
      </c>
      <c r="C47" s="1" t="s">
        <v>141</v>
      </c>
      <c r="D47" s="1">
        <v>498917.0</v>
      </c>
      <c r="E47" s="1">
        <v>108852.0</v>
      </c>
      <c r="F47" s="1" t="s">
        <v>142</v>
      </c>
      <c r="G47" s="1" t="str">
        <f>IFERROR(__xludf.DUMMYFUNCTION("GOOGLETRANSLATE(F47, ""de"", ""en"")"),"Bamberg's seven-hilled old town with a Romanesque cathedral and town hall in the Regnitz is considered the largest undestroyed historical cityscape in Germany.")</f>
        <v>Bamberg's seven-hilled old town with a Romanesque cathedral and town hall in the Regnitz is considered the largest undestroyed historical cityscape in Germany.</v>
      </c>
    </row>
    <row r="48" ht="15.75" customHeight="1">
      <c r="A48" s="1">
        <v>47.0</v>
      </c>
      <c r="B48" s="1" t="s">
        <v>143</v>
      </c>
      <c r="C48" s="1" t="s">
        <v>144</v>
      </c>
      <c r="D48" s="1">
        <v>494542.0</v>
      </c>
      <c r="E48" s="1">
        <v>110773.0</v>
      </c>
      <c r="F48" s="1" t="s">
        <v>145</v>
      </c>
      <c r="G48" s="1" t="str">
        <f>IFERROR(__xludf.DUMMYFUNCTION("GOOGLETRANSLATE(F48, ""de"", ""en"")"),"The Nuremberg Christkindlesmarkt, which has been in use since the 16th century, attracts two million visitors every year with gingerbread and wooden toys.")</f>
        <v>The Nuremberg Christkindlesmarkt, which has been in use since the 16th century, attracts two million visitors every year with gingerbread and wooden toys.</v>
      </c>
    </row>
    <row r="49" ht="15.75" customHeight="1">
      <c r="A49" s="1">
        <v>48.0</v>
      </c>
      <c r="B49" s="1" t="s">
        <v>146</v>
      </c>
      <c r="C49" s="1" t="s">
        <v>147</v>
      </c>
      <c r="D49" s="1">
        <v>494528.0</v>
      </c>
      <c r="E49" s="1">
        <v>11078.0</v>
      </c>
      <c r="F49" s="1" t="s">
        <v>148</v>
      </c>
      <c r="G49" s="1" t="str">
        <f>IFERROR(__xludf.DUMMYFUNCTION("GOOGLETRANSLATE(F49, ""de"", ""en"")"),"The Memorium Nuremberg Trials in Room 600 commemorates the legal investigation of the Nazi crimes and the birth of international criminal law.")</f>
        <v>The Memorium Nuremberg Trials in Room 600 commemorates the legal investigation of the Nazi crimes and the birth of international criminal law.</v>
      </c>
    </row>
    <row r="50" ht="15.75" customHeight="1">
      <c r="A50" s="1">
        <v>49.0</v>
      </c>
      <c r="B50" s="1" t="s">
        <v>149</v>
      </c>
      <c r="C50" s="1" t="s">
        <v>150</v>
      </c>
      <c r="D50" s="1">
        <v>48765.0</v>
      </c>
      <c r="E50" s="1">
        <v>114257.0</v>
      </c>
      <c r="F50" s="1" t="s">
        <v>151</v>
      </c>
      <c r="G50" s="1" t="str">
        <f>IFERROR(__xludf.DUMMYFUNCTION("GOOGLETRANSLATE(F50, ""de"", ""en"")"),"In 1516, Bavarian dukes proclaimed the Purity Law in Ingolstadt: Beer may only consist of water, barley and hops - the oldest food regulation in the world.")</f>
        <v>In 1516, Bavarian dukes proclaimed the Purity Law in Ingolstadt: Beer may only consist of water, barley and hops - the oldest food regulation in the world.</v>
      </c>
    </row>
    <row r="51" ht="15.75" customHeight="1">
      <c r="A51" s="1">
        <v>50.0</v>
      </c>
      <c r="B51" s="1" t="s">
        <v>152</v>
      </c>
      <c r="C51" s="1" t="s">
        <v>153</v>
      </c>
      <c r="D51" s="1">
        <v>482188.0</v>
      </c>
      <c r="E51" s="1">
        <v>116247.0</v>
      </c>
      <c r="F51" s="1" t="s">
        <v>154</v>
      </c>
      <c r="G51" s="1" t="str">
        <f>IFERROR(__xludf.DUMMYFUNCTION("GOOGLETRANSLATE(F51, ""de"", ""en"")"),"The Allianz Arena, which opened in 2005 with a translucent outer shell, is home to FC Bayern and is one of the most striking stadiums in Europe.")</f>
        <v>The Allianz Arena, which opened in 2005 with a translucent outer shell, is home to FC Bayern and is one of the most striking stadiums in Europe.</v>
      </c>
    </row>
    <row r="52" ht="15.75" customHeight="1">
      <c r="A52" s="1">
        <v>51.0</v>
      </c>
      <c r="B52" s="1" t="s">
        <v>155</v>
      </c>
      <c r="C52" s="1" t="s">
        <v>156</v>
      </c>
      <c r="D52" s="1">
        <v>48174.0</v>
      </c>
      <c r="E52" s="1">
        <v>11546.0</v>
      </c>
      <c r="F52" s="1" t="s">
        <v>157</v>
      </c>
      <c r="G52" s="1" t="str">
        <f>IFERROR(__xludf.DUMMYFUNCTION("GOOGLETRANSLATE(F52, ""de"", ""en"")"),"The 1972 Games set new standards with their tent roof architecture; The attack on the Israeli team shaped the memory of the modern area.")</f>
        <v>The 1972 Games set new standards with their tent roof architecture; The attack on the Israeli team shaped the memory of the modern area.</v>
      </c>
    </row>
    <row r="53" ht="15.75" customHeight="1">
      <c r="A53" s="1">
        <v>52.0</v>
      </c>
      <c r="B53" s="1" t="s">
        <v>158</v>
      </c>
      <c r="C53" s="1" t="s">
        <v>159</v>
      </c>
      <c r="D53" s="1">
        <v>4815.0</v>
      </c>
      <c r="E53" s="1">
        <v>1158.0</v>
      </c>
      <c r="F53" s="1" t="s">
        <v>160</v>
      </c>
      <c r="G53" s="1" t="str">
        <f>IFERROR(__xludf.DUMMYFUNCTION("GOOGLETRANSLATE(F53, ""de"", ""en"")"),"Sophie Scholl distributed “White Rose” leaflets at the LMU in 1943. Today, memorial plaques remind us of their courageous resistance against the Nazi regime.")</f>
        <v>Sophie Scholl distributed “White Rose” leaflets at the LMU in 1943. Today, memorial plaques remind us of their courageous resistance against the Nazi regime.</v>
      </c>
    </row>
    <row r="54" ht="15.75" customHeight="1">
      <c r="A54" s="1">
        <v>53.0</v>
      </c>
      <c r="B54" s="1" t="s">
        <v>161</v>
      </c>
      <c r="C54" s="1" t="s">
        <v>162</v>
      </c>
      <c r="D54" s="1">
        <v>481312.0</v>
      </c>
      <c r="E54" s="1">
        <v>115497.0</v>
      </c>
      <c r="F54" s="1" t="s">
        <v>163</v>
      </c>
      <c r="G54" s="1" t="str">
        <f>IFERROR(__xludf.DUMMYFUNCTION("GOOGLETRANSLATE(F54, ""de"", ""en"")"),"Munich has been celebrating Oktoberfest since 1810. Huge beer tents, rides and traditional costumes attract millions of visitors every year.")</f>
        <v>Munich has been celebrating Oktoberfest since 1810. Huge beer tents, rides and traditional costumes attract millions of visitors every year.</v>
      </c>
    </row>
    <row r="55" ht="15.75" customHeight="1">
      <c r="A55" s="1">
        <v>54.0</v>
      </c>
      <c r="B55" s="1" t="s">
        <v>164</v>
      </c>
      <c r="C55" s="1" t="s">
        <v>165</v>
      </c>
      <c r="D55" s="1">
        <v>475576.0</v>
      </c>
      <c r="E55" s="1">
        <v>107498.0</v>
      </c>
      <c r="F55" s="1" t="s">
        <v>166</v>
      </c>
      <c r="G55" s="1" t="str">
        <f>IFERROR(__xludf.DUMMYFUNCTION("GOOGLETRANSLATE(F55, ""de"", ""en"")"),"King Ludwig's fairytale castle (from 1869) embodies romantic historicism in an Alpine setting and served as a model for the Disney castle.")</f>
        <v>King Ludwig's fairytale castle (from 1869) embodies romantic historicism in an Alpine setting and served as a model for the Disney castle.</v>
      </c>
    </row>
    <row r="56" ht="15.75" customHeight="1">
      <c r="A56" s="1">
        <v>55.0</v>
      </c>
      <c r="B56" s="1" t="s">
        <v>167</v>
      </c>
      <c r="C56" s="1" t="s">
        <v>168</v>
      </c>
      <c r="D56" s="1">
        <v>476514.0</v>
      </c>
      <c r="E56" s="1">
        <v>9478.0</v>
      </c>
      <c r="F56" s="1" t="s">
        <v>169</v>
      </c>
      <c r="G56" s="1" t="str">
        <f>IFERROR(__xludf.DUMMYFUNCTION("GOOGLETRANSLATE(F56, ""de"", ""en"")"),"The world's first Zeppelin took off here in 1900. The museum shows exhibits from the airship era, including a section of the “Hindenburg”.")</f>
        <v>The world's first Zeppelin took off here in 1900. The museum shows exhibits from the airship era, including a section of the “Hindenburg”.</v>
      </c>
    </row>
    <row r="57" ht="15.75" customHeight="1">
      <c r="A57" s="1">
        <v>56.0</v>
      </c>
      <c r="B57" s="1" t="s">
        <v>170</v>
      </c>
      <c r="C57" s="1" t="s">
        <v>171</v>
      </c>
      <c r="D57" s="1">
        <v>484011.0</v>
      </c>
      <c r="E57" s="1">
        <v>99876.0</v>
      </c>
      <c r="F57" s="1" t="s">
        <v>172</v>
      </c>
      <c r="G57" s="1" t="str">
        <f>IFERROR(__xludf.DUMMYFUNCTION("GOOGLETRANSLATE(F57, ""de"", ""en"")"),"Albert Einstein, born in Ulm in 1879, revolutionized physics with relativity and quantum theory. The fountain commemorates the genius.")</f>
        <v>Albert Einstein, born in Ulm in 1879, revolutionized physics with relativity and quantum theory. The fountain commemorates the genius.</v>
      </c>
    </row>
    <row r="58" ht="15.75" customHeight="1">
      <c r="A58" s="1">
        <v>57.0</v>
      </c>
      <c r="B58" s="1" t="s">
        <v>173</v>
      </c>
      <c r="C58" s="1" t="s">
        <v>174</v>
      </c>
      <c r="D58" s="1">
        <v>487904.0</v>
      </c>
      <c r="E58" s="1">
        <v>92183.0</v>
      </c>
      <c r="F58" s="1" t="s">
        <v>175</v>
      </c>
      <c r="G58" s="1" t="str">
        <f>IFERROR(__xludf.DUMMYFUNCTION("GOOGLETRANSLATE(F58, ""de"", ""en"")"),"The Cannstatter Volksfest (since 1818) is the second largest German beer and folk festival after Oktoberfest and attracts around four million guests every year.")</f>
        <v>The Cannstatter Volksfest (since 1818) is the second largest German beer and folk festival after Oktoberfest and attracts around four million guests every year.</v>
      </c>
    </row>
    <row r="59" ht="15.75" customHeight="1">
      <c r="A59" s="1">
        <v>58.0</v>
      </c>
      <c r="B59" s="1" t="s">
        <v>176</v>
      </c>
      <c r="C59" s="1" t="s">
        <v>176</v>
      </c>
      <c r="D59" s="1">
        <v>494106.0</v>
      </c>
      <c r="E59" s="1">
        <v>87151.0</v>
      </c>
      <c r="F59" s="1" t="s">
        <v>177</v>
      </c>
      <c r="G59" s="1" t="str">
        <f>IFERROR(__xludf.DUMMYFUNCTION("GOOGLETRANSLATE(F59, ""de"", ""en"")"),"The romantic castle ruins above the Neckar were the residence of the electors. Its Renaissance facades and the Great Barrel already inspired Goethe.")</f>
        <v>The romantic castle ruins above the Neckar were the residence of the electors. Its Renaissance facades and the Great Barrel already inspired Goethe.</v>
      </c>
    </row>
    <row r="60" ht="15.75" customHeight="1">
      <c r="A60" s="1">
        <v>59.0</v>
      </c>
      <c r="B60" s="1" t="s">
        <v>178</v>
      </c>
      <c r="C60" s="1" t="s">
        <v>179</v>
      </c>
      <c r="D60" s="1">
        <v>494875.0</v>
      </c>
      <c r="E60" s="1">
        <v>8466.0</v>
      </c>
      <c r="F60" s="1" t="s">
        <v>180</v>
      </c>
      <c r="G60" s="1" t="str">
        <f>IFERROR(__xludf.DUMMYFUNCTION("GOOGLETRANSLATE(F60, ""de"", ""en"")"),"Carl Benz built the first practical motor car in Mannheim in 1885/86. Bertha Benz's first long-distance journey proved its suitability for everyday use.")</f>
        <v>Carl Benz built the first practical motor car in Mannheim in 1885/86. Bertha Benz's first long-distance journey proved its suitability for everyday use.</v>
      </c>
    </row>
    <row r="61" ht="15.75" customHeight="1">
      <c r="A61" s="1">
        <v>60.0</v>
      </c>
      <c r="B61" s="1" t="s">
        <v>181</v>
      </c>
      <c r="C61" s="1" t="s">
        <v>182</v>
      </c>
      <c r="D61" s="1">
        <v>497913.0</v>
      </c>
      <c r="E61" s="1">
        <v>99534.0</v>
      </c>
      <c r="F61" s="1" t="s">
        <v>183</v>
      </c>
      <c r="G61" s="1" t="str">
        <f>IFERROR(__xludf.DUMMYFUNCTION("GOOGLETRANSLATE(F61, ""de"", ""en"")"),"The Würzburg Residence (1720–1744) with its Tiepolo fresco and Hall of Mirrors is considered a major work of the South German Baroque and is a UNESCO World Heritage Site.")</f>
        <v>The Würzburg Residence (1720–1744) with its Tiepolo fresco and Hall of Mirrors is considered a major work of the South German Baroque and is a UNESCO World Heritage Site.</v>
      </c>
    </row>
    <row r="62" ht="15.75" customHeight="1">
      <c r="A62" s="1">
        <v>61.0</v>
      </c>
      <c r="B62" s="1" t="s">
        <v>184</v>
      </c>
      <c r="C62" s="1" t="s">
        <v>185</v>
      </c>
      <c r="D62" s="1">
        <v>481275.0</v>
      </c>
      <c r="E62" s="1">
        <v>82364.0</v>
      </c>
      <c r="F62" s="1" t="s">
        <v>186</v>
      </c>
      <c r="G62" s="1" t="str">
        <f>IFERROR(__xludf.DUMMYFUNCTION("GOOGLETRANSLATE(F62, ""de"", ""en"")"),"The cream-chocolate-cherry cake with kirsch was created in the Black Forest. The Café Schäfer serves them according to a historical recipe.")</f>
        <v>The cream-chocolate-cherry cake with kirsch was created in the Black Forest. The Café Schäfer serves them according to a historical recipe.</v>
      </c>
    </row>
    <row r="63" ht="15.75" customHeight="1">
      <c r="A63" s="1">
        <v>62.0</v>
      </c>
      <c r="B63" s="1" t="s">
        <v>187</v>
      </c>
      <c r="C63" s="1" t="s">
        <v>188</v>
      </c>
      <c r="D63" s="1">
        <v>507753.0</v>
      </c>
      <c r="E63" s="1">
        <v>60839.0</v>
      </c>
      <c r="F63" s="1" t="s">
        <v>189</v>
      </c>
      <c r="G63" s="1" t="str">
        <f>IFERROR(__xludf.DUMMYFUNCTION("GOOGLETRANSLATE(F63, ""de"", ""en"")"),"Karl's Palatinate Chapel (8th/9th century) and Gothic choir are Germany's first UNESCO World Heritage Site. Over 30 German kings were crowned here.")</f>
        <v>Karl's Palatinate Chapel (8th/9th century) and Gothic choir are Germany's first UNESCO World Heritage Site. Over 30 German kings were crowned here.</v>
      </c>
    </row>
    <row r="64" ht="15.75" customHeight="1">
      <c r="A64" s="1">
        <v>63.0</v>
      </c>
      <c r="B64" s="1" t="s">
        <v>190</v>
      </c>
      <c r="C64" s="1" t="s">
        <v>191</v>
      </c>
      <c r="D64" s="1">
        <v>50776.0</v>
      </c>
      <c r="E64" s="1">
        <v>60839.0</v>
      </c>
      <c r="F64" s="1" t="s">
        <v>192</v>
      </c>
      <c r="G64" s="1" t="str">
        <f>IFERROR(__xludf.DUMMYFUNCTION("GOOGLETRANSLATE(F64, ""de"", ""en"")"),"The Aachen Cathedral Treasure with the Charlemagne Shrine and the Mary Shrine is one of the most important church treasures in Europe and complements the World Heritage Cathedral.")</f>
        <v>The Aachen Cathedral Treasure with the Charlemagne Shrine and the Mary Shrine is one of the most important church treasures in Europe and complements the World Heritage Cathedral.</v>
      </c>
    </row>
    <row r="65" ht="15.75" customHeight="1">
      <c r="A65" s="1">
        <v>64.0</v>
      </c>
      <c r="B65" s="1" t="s">
        <v>193</v>
      </c>
      <c r="C65" s="1" t="s">
        <v>194</v>
      </c>
      <c r="D65" s="1">
        <v>515281.0</v>
      </c>
      <c r="E65" s="1">
        <v>115487.0</v>
      </c>
      <c r="F65" s="1" t="s">
        <v>195</v>
      </c>
      <c r="G65" s="1" t="str">
        <f>IFERROR(__xludf.DUMMYFUNCTION("GOOGLETRANSLATE(F65, ""de"", ""en"")"),"Luther's birth and death houses in Eisleben are a UNESCO World Heritage Site and document the life and impact of the reformer.")</f>
        <v>Luther's birth and death houses in Eisleben are a UNESCO World Heritage Site and document the life and impact of the reformer.</v>
      </c>
    </row>
    <row r="66" ht="15.75" customHeight="1">
      <c r="A66" s="1">
        <v>65.0</v>
      </c>
      <c r="B66" s="1" t="s">
        <v>196</v>
      </c>
      <c r="C66" s="1" t="s">
        <v>197</v>
      </c>
      <c r="D66" s="1">
        <v>518349.0</v>
      </c>
      <c r="E66" s="1">
        <v>122424.0</v>
      </c>
      <c r="F66" s="1" t="s">
        <v>198</v>
      </c>
      <c r="G66" s="1" t="str">
        <f>IFERROR(__xludf.DUMMYFUNCTION("GOOGLETRANSLATE(F66, ""de"", ""en"")"),"Gropius' master houses (1925/26) for Bauhaus teachers like Kandinsky represent functional Bauhaus architecture in its original state.")</f>
        <v>Gropius' master houses (1925/26) for Bauhaus teachers like Kandinsky represent functional Bauhaus architecture in its original state.</v>
      </c>
    </row>
    <row r="67" ht="15.75" customHeight="1">
      <c r="A67" s="1">
        <v>66.0</v>
      </c>
      <c r="B67" s="1" t="s">
        <v>199</v>
      </c>
      <c r="C67" s="1" t="s">
        <v>200</v>
      </c>
      <c r="D67" s="1">
        <v>518367.0</v>
      </c>
      <c r="E67" s="1">
        <v>122428.0</v>
      </c>
      <c r="F67" s="1" t="s">
        <v>201</v>
      </c>
      <c r="G67" s="1" t="str">
        <f>IFERROR(__xludf.DUMMYFUNCTION("GOOGLETRANSLATE(F67, ""de"", ""en"")"),"The Bauhaus building (1926) with a glass facade represents the fusion of art, craftsmanship and industry - a milestone of modernity.")</f>
        <v>The Bauhaus building (1926) with a glass facade represents the fusion of art, craftsmanship and industry - a milestone of modernity.</v>
      </c>
    </row>
    <row r="68" ht="15.75" customHeight="1">
      <c r="A68" s="1">
        <v>67.0</v>
      </c>
      <c r="B68" s="1" t="s">
        <v>202</v>
      </c>
      <c r="C68" s="1" t="s">
        <v>203</v>
      </c>
      <c r="D68" s="1">
        <v>518661.0</v>
      </c>
      <c r="E68" s="1">
        <v>126477.0</v>
      </c>
      <c r="F68" s="1" t="s">
        <v>204</v>
      </c>
      <c r="G68" s="1" t="str">
        <f>IFERROR(__xludf.DUMMYFUNCTION("GOOGLETRANSLATE(F68, ""de"", ""en"")"),"Luther's 95 theses from 1517 at the castle church triggered the Reformation and lastingly changed the church and society.")</f>
        <v>Luther's 95 theses from 1517 at the castle church triggered the Reformation and lastingly changed the church and society.</v>
      </c>
    </row>
    <row r="69" ht="15.75" customHeight="1">
      <c r="A69" s="1">
        <v>68.0</v>
      </c>
      <c r="B69" s="1" t="s">
        <v>205</v>
      </c>
      <c r="C69" s="1" t="s">
        <v>206</v>
      </c>
      <c r="D69" s="1">
        <v>513393.0</v>
      </c>
      <c r="E69" s="1">
        <v>123747.0</v>
      </c>
      <c r="F69" s="1" t="s">
        <v>207</v>
      </c>
      <c r="G69" s="1" t="str">
        <f>IFERROR(__xludf.DUMMYFUNCTION("GOOGLETRANSLATE(F69, ""de"", ""en"")"),"The Leipzig Jazz Days (since 1976) bring international jazz greats to historic venues such as the underground Moritzbastei.")</f>
        <v>The Leipzig Jazz Days (since 1976) bring international jazz greats to historic venues such as the underground Moritzbastei.</v>
      </c>
    </row>
    <row r="70" ht="15.75" customHeight="1">
      <c r="A70" s="1">
        <v>69.0</v>
      </c>
      <c r="B70" s="1" t="s">
        <v>208</v>
      </c>
      <c r="C70" s="1" t="s">
        <v>209</v>
      </c>
      <c r="D70" s="1">
        <v>513388.0</v>
      </c>
      <c r="E70" s="1">
        <v>123723.0</v>
      </c>
      <c r="F70" s="1" t="s">
        <v>210</v>
      </c>
      <c r="G70" s="1" t="str">
        <f>IFERROR(__xludf.DUMMYFUNCTION("GOOGLETRANSLATE(F70, ""de"", ""en"")"),"Bach worked as Thomaskantor in Leipzig from 1723. The museum shows the Baroque composer's manuscripts and instruments.")</f>
        <v>Bach worked as Thomaskantor in Leipzig from 1723. The museum shows the Baroque composer's manuscripts and instruments.</v>
      </c>
    </row>
    <row r="71" ht="15.75" customHeight="1">
      <c r="A71" s="1">
        <v>70.0</v>
      </c>
      <c r="B71" s="1" t="s">
        <v>211</v>
      </c>
      <c r="C71" s="1" t="s">
        <v>212</v>
      </c>
      <c r="D71" s="1">
        <v>513128.0</v>
      </c>
      <c r="E71" s="1">
        <v>124134.0</v>
      </c>
      <c r="F71" s="1" t="s">
        <v>213</v>
      </c>
      <c r="G71" s="1" t="str">
        <f>IFERROR(__xludf.DUMMYFUNCTION("GOOGLETRANSLATE(F71, ""de"", ""en"")"),"The 91 meter high Battle of the Nations Monument commemorates Napoleon's defeat in the greatest battle before the First World War.")</f>
        <v>The 91 meter high Battle of the Nations Monument commemorates Napoleon's defeat in the greatest battle before the First World War.</v>
      </c>
    </row>
    <row r="72" ht="15.75" customHeight="1">
      <c r="A72" s="1">
        <v>71.0</v>
      </c>
      <c r="B72" s="1" t="s">
        <v>214</v>
      </c>
      <c r="C72" s="1" t="s">
        <v>215</v>
      </c>
      <c r="D72" s="1">
        <v>511642.0</v>
      </c>
      <c r="E72" s="1">
        <v>134827.0</v>
      </c>
      <c r="F72" s="1" t="s">
        <v>216</v>
      </c>
      <c r="G72" s="1" t="str">
        <f>IFERROR(__xludf.DUMMYFUNCTION("GOOGLETRANSLATE(F72, ""de"", ""en"")"),"The first European hard porcelain was created in Meißen in 1710. The museum shows masterpieces with crossed swords.")</f>
        <v>The first European hard porcelain was created in Meißen in 1710. The museum shows masterpieces with crossed swords.</v>
      </c>
    </row>
    <row r="73" ht="15.75" customHeight="1">
      <c r="A73" s="1">
        <v>72.0</v>
      </c>
      <c r="B73" s="1" t="s">
        <v>217</v>
      </c>
      <c r="C73" s="1" t="s">
        <v>218</v>
      </c>
      <c r="D73" s="1">
        <v>523948.0</v>
      </c>
      <c r="E73" s="1">
        <v>130644.0</v>
      </c>
      <c r="F73" s="1" t="s">
        <v>219</v>
      </c>
      <c r="G73" s="1" t="str">
        <f>IFERROR(__xludf.DUMMYFUNCTION("GOOGLETRANSLATE(F73, ""de"", ""en"")"),"The technology museum presents locomotives, ships and a “raisin bomber” on the roof – hands-on history of technology.")</f>
        <v>The technology museum presents locomotives, ships and a “raisin bomber” on the roof – hands-on history of technology.</v>
      </c>
    </row>
    <row r="74" ht="15.75" customHeight="1">
      <c r="A74" s="1">
        <v>73.0</v>
      </c>
      <c r="B74" s="1" t="s">
        <v>220</v>
      </c>
      <c r="C74" s="1" t="s">
        <v>221</v>
      </c>
      <c r="D74" s="1">
        <v>523969.0</v>
      </c>
      <c r="E74" s="1">
        <v>130586.0</v>
      </c>
      <c r="F74" s="1" t="s">
        <v>222</v>
      </c>
      <c r="G74" s="1" t="str">
        <f>IFERROR(__xludf.DUMMYFUNCTION("GOOGLETRANSLATE(F74, ""de"", ""en"")"),"Frederick the Great had Sanssouci (1747) built as a Rococo summer residence over vineyard terraces; The park and castles are UNESCO World Heritage Sites.")</f>
        <v>Frederick the Great had Sanssouci (1747) built as a Rococo summer residence over vineyard terraces; The park and castles are UNESCO World Heritage Sites.</v>
      </c>
    </row>
    <row r="75" ht="15.75" customHeight="1">
      <c r="A75" s="1">
        <v>74.0</v>
      </c>
      <c r="B75" s="1" t="s">
        <v>223</v>
      </c>
      <c r="C75" s="1" t="s">
        <v>224</v>
      </c>
      <c r="D75" s="1">
        <v>524039.0</v>
      </c>
      <c r="E75" s="1">
        <v>130682.0</v>
      </c>
      <c r="F75" s="1" t="s">
        <v>225</v>
      </c>
      <c r="G75" s="1" t="str">
        <f>IFERROR(__xludf.DUMMYFUNCTION("GOOGLETRANSLATE(F75, ""de"", ""en"")"),"The Babelsberg Studios (from 1912) are the cradle of German film. The film park provides insights into sets, stunts and trick technology.")</f>
        <v>The Babelsberg Studios (from 1912) are the cradle of German film. The film park provides insights into sets, stunts and trick technology.</v>
      </c>
    </row>
    <row r="76" ht="15.75" customHeight="1">
      <c r="A76" s="1">
        <v>75.0</v>
      </c>
      <c r="B76" s="1" t="s">
        <v>226</v>
      </c>
      <c r="C76" s="1" t="s">
        <v>227</v>
      </c>
      <c r="D76" s="1">
        <v>524731.0</v>
      </c>
      <c r="E76" s="1">
        <v>13403.0</v>
      </c>
      <c r="F76" s="1" t="s">
        <v>228</v>
      </c>
      <c r="G76" s="1" t="str">
        <f>IFERROR(__xludf.DUMMYFUNCTION("GOOGLETRANSLATE(F76, ""de"", ""en"")"),"In 1948/49, raisin bombers supplied the blockaded western part of the city via Tempelhof Airport - a symbol of Western solidarity.")</f>
        <v>In 1948/49, raisin bombers supplied the blockaded western part of the city via Tempelhof Airport - a symbol of Western solidarity.</v>
      </c>
    </row>
    <row r="77" ht="15.75" customHeight="1">
      <c r="A77" s="1">
        <v>76.0</v>
      </c>
      <c r="B77" s="1" t="s">
        <v>229</v>
      </c>
      <c r="C77" s="1" t="s">
        <v>230</v>
      </c>
      <c r="D77" s="1">
        <v>525076.0</v>
      </c>
      <c r="E77" s="1">
        <v>133904.0</v>
      </c>
      <c r="F77" s="1" t="s">
        <v>231</v>
      </c>
      <c r="G77" s="1" t="str">
        <f>IFERROR(__xludf.DUMMYFUNCTION("GOOGLETRANSLATE(F77, ""de"", ""en"")"),"The most famous Berlin border crossing was the scene of explosive tank confrontations between the USA and the USSR in October 1961.")</f>
        <v>The most famous Berlin border crossing was the scene of explosive tank confrontations between the USA and the USSR in October 1961.</v>
      </c>
    </row>
    <row r="78" ht="15.75" customHeight="1">
      <c r="A78" s="1">
        <v>77.0</v>
      </c>
      <c r="B78" s="1" t="s">
        <v>232</v>
      </c>
      <c r="C78" s="1" t="s">
        <v>233</v>
      </c>
      <c r="D78" s="1">
        <v>525163.0</v>
      </c>
      <c r="E78" s="1">
        <v>133777.0</v>
      </c>
      <c r="F78" s="1" t="s">
        <v>234</v>
      </c>
      <c r="G78" s="1" t="str">
        <f>IFERROR(__xludf.DUMMYFUNCTION("GOOGLETRANSLATE(F78, ""de"", ""en"")"),"The classicist gate (1791) stood on the wall until 1989 and became a symbol of German unity after its fall.")</f>
        <v>The classicist gate (1791) stood on the wall until 1989 and became a symbol of German unity after its fall.</v>
      </c>
    </row>
    <row r="79" ht="15.75" customHeight="1">
      <c r="A79" s="1">
        <v>78.0</v>
      </c>
      <c r="B79" s="1" t="s">
        <v>235</v>
      </c>
      <c r="C79" s="1" t="s">
        <v>236</v>
      </c>
      <c r="D79" s="1">
        <v>525114.0</v>
      </c>
      <c r="E79" s="1">
        <v>13439.0</v>
      </c>
      <c r="F79" s="1" t="s">
        <v>237</v>
      </c>
      <c r="G79" s="1" t="str">
        <f>IFERROR(__xludf.DUMMYFUNCTION("GOOGLETRANSLATE(F79, ""de"", ""en"")"),"The Berghain club in a former power plant is considered a techno mecca: uncompromising door policy and first-class sound create cult status.")</f>
        <v>The Berghain club in a former power plant is considered a techno mecca: uncompromising door policy and first-class sound create cult status.</v>
      </c>
    </row>
    <row r="80" ht="15.75" customHeight="1">
      <c r="A80" s="1">
        <v>79.0</v>
      </c>
      <c r="B80" s="1" t="s">
        <v>238</v>
      </c>
      <c r="C80" s="1" t="s">
        <v>239</v>
      </c>
      <c r="D80" s="1">
        <v>525045.0</v>
      </c>
      <c r="E80" s="1">
        <v>134408.0</v>
      </c>
      <c r="F80" s="1" t="s">
        <v>240</v>
      </c>
      <c r="G80" s="1" t="str">
        <f>IFERROR(__xludf.DUMMYFUNCTION("GOOGLETRANSLATE(F80, ""de"", ""en"")"),"The painted 1.3 km of wall remains show over 100 murals that express joy about the peaceful revolution of 1989.")</f>
        <v>The painted 1.3 km of wall remains show over 100 murals that express joy about the peaceful revolution of 1989.</v>
      </c>
    </row>
    <row r="81" ht="15.75" customHeight="1">
      <c r="A81" s="1">
        <v>80.0</v>
      </c>
      <c r="B81" s="1" t="s">
        <v>241</v>
      </c>
      <c r="C81" s="1" t="s">
        <v>242</v>
      </c>
      <c r="D81" s="1">
        <v>53125.0</v>
      </c>
      <c r="E81" s="1">
        <v>13093.0</v>
      </c>
      <c r="F81" s="1" t="s">
        <v>243</v>
      </c>
      <c r="G81" s="1" t="str">
        <f>IFERROR(__xludf.DUMMYFUNCTION("GOOGLETRANSLATE(F81, ""de"", ""en"")"),"Fürstenberg Castle is located in a park landscape in northern Brandenburg rich in lakes and forests and reflects aristocratic culture in a natural setting.")</f>
        <v>Fürstenberg Castle is located in a park landscape in northern Brandenburg rich in lakes and forests and reflects aristocratic culture in a natural setting.</v>
      </c>
    </row>
    <row r="82" ht="15.75" customHeight="1">
      <c r="A82" s="1">
        <v>81.0</v>
      </c>
      <c r="B82" s="1" t="s">
        <v>244</v>
      </c>
      <c r="C82" s="1" t="s">
        <v>245</v>
      </c>
      <c r="D82" s="1">
        <v>530913.0</v>
      </c>
      <c r="E82" s="1">
        <v>129084.0</v>
      </c>
      <c r="F82" s="1" t="s">
        <v>246</v>
      </c>
      <c r="G82" s="1" t="str">
        <f>IFERROR(__xludf.DUMMYFUNCTION("GOOGLETRANSLATE(F82, ""de"", ""en"")"),"Rheinsberg Castle on Grienericksee, once the residence of Frederick the Great, represents the idyllic lakes of the Ruppiner Land.")</f>
        <v>Rheinsberg Castle on Grienericksee, once the residence of Frederick the Great, represents the idyllic lakes of the Ruppiner Land.</v>
      </c>
    </row>
    <row r="83" ht="15.75" customHeight="1">
      <c r="A83" s="1">
        <v>82.0</v>
      </c>
      <c r="B83" s="1" t="s">
        <v>247</v>
      </c>
      <c r="C83" s="1" t="s">
        <v>248</v>
      </c>
      <c r="D83" s="1">
        <v>535211.0</v>
      </c>
      <c r="E83" s="1">
        <v>126801.0</v>
      </c>
      <c r="F83" s="1" t="s">
        <v>249</v>
      </c>
      <c r="G83" s="1" t="str">
        <f>IFERROR(__xludf.DUMMYFUNCTION("GOOGLETRANSLATE(F83, ""de"", ""en"")"),"Germany's largest freshwater aquarium provides information about the flora and fauna of the Mecklenburg Lake District in the Müritzeum.")</f>
        <v>Germany's largest freshwater aquarium provides information about the flora and fauna of the Mecklenburg Lake District in the Müritzeum.</v>
      </c>
    </row>
    <row r="84" ht="15.75" customHeight="1">
      <c r="A84" s="1">
        <v>83.0</v>
      </c>
      <c r="B84" s="1" t="s">
        <v>250</v>
      </c>
      <c r="C84" s="1" t="s">
        <v>251</v>
      </c>
      <c r="D84" s="1">
        <v>540865.0</v>
      </c>
      <c r="E84" s="1">
        <v>121095.0</v>
      </c>
      <c r="F84" s="1" t="s">
        <v>252</v>
      </c>
      <c r="G84" s="1" t="str">
        <f>IFERROR(__xludf.DUMMYFUNCTION("GOOGLETRANSLATE(F84, ""de"", ""en"")"),"Warnemünde's Alter Strom shows the maritime tradition of the Hanseatic city of Rostock with fishing boats and captain's houses.")</f>
        <v>Warnemünde's Alter Strom shows the maritime tradition of the Hanseatic city of Rostock with fishing boats and captain's houses.</v>
      </c>
    </row>
    <row r="85" ht="15.75" customHeight="1">
      <c r="A85" s="1">
        <v>84.0</v>
      </c>
      <c r="B85" s="1" t="s">
        <v>253</v>
      </c>
      <c r="C85" s="1" t="s">
        <v>254</v>
      </c>
      <c r="D85" s="1">
        <v>543996.0</v>
      </c>
      <c r="E85" s="1">
        <v>124539.0</v>
      </c>
      <c r="F85" s="1" t="s">
        <v>255</v>
      </c>
      <c r="G85" s="1" t="str">
        <f>IFERROR(__xludf.DUMMYFUNCTION("GOOGLETRANSLATE(F85, ""de"", ""en"")"),"The former fishing village of Ahrenshoop became an artists' colony from 1890; Thatched roofs and Baltic Sea light continue to inspire painters today.")</f>
        <v>The former fishing village of Ahrenshoop became an artists' colony from 1890; Thatched roofs and Baltic Sea light continue to inspire painters today.</v>
      </c>
    </row>
    <row r="86" ht="15.75" customHeight="1">
      <c r="A86" s="1">
        <v>85.0</v>
      </c>
      <c r="B86" s="1" t="s">
        <v>256</v>
      </c>
      <c r="C86" s="1" t="s">
        <v>257</v>
      </c>
      <c r="D86" s="1">
        <v>543126.0</v>
      </c>
      <c r="E86" s="1">
        <v>130929.0</v>
      </c>
      <c r="F86" s="1" t="s">
        <v>258</v>
      </c>
      <c r="G86" s="1" t="str">
        <f>IFERROR(__xludf.DUMMYFUNCTION("GOOGLETRANSLATE(F86, ""de"", ""en"")"),"Stralsund's brick Gothic old town received city rights in 1234; As a Hanseatic port, it is a UNESCO World Heritage Site together with Wismar.")</f>
        <v>Stralsund's brick Gothic old town received city rights in 1234; As a Hanseatic port, it is a UNESCO World Heritage Site together with Wismar.</v>
      </c>
    </row>
    <row r="87" ht="15.75" customHeight="1">
      <c r="A87" s="1">
        <v>86.0</v>
      </c>
      <c r="B87" s="1" t="s">
        <v>259</v>
      </c>
      <c r="C87" s="1" t="s">
        <v>260</v>
      </c>
      <c r="D87" s="1">
        <v>540924.0</v>
      </c>
      <c r="E87" s="1">
        <v>134022.0</v>
      </c>
      <c r="F87" s="1" t="s">
        <v>261</v>
      </c>
      <c r="G87" s="1" t="str">
        <f>IFERROR(__xludf.DUMMYFUNCTION("GOOGLETRANSLATE(F87, ""de"", ""en"")"),"The St. Nikolai Cathedral (13th century) dominates Greifswald's silhouette and embodies North German brick Gothic and Hanseatic wealth.")</f>
        <v>The St. Nikolai Cathedral (13th century) dominates Greifswald's silhouette and embodies North German brick Gothic and Hanseatic wealth.</v>
      </c>
    </row>
    <row r="88" ht="15.75" customHeight="1">
      <c r="A88" s="1">
        <v>87.0</v>
      </c>
      <c r="B88" s="1" t="s">
        <v>262</v>
      </c>
      <c r="C88" s="1" t="s">
        <v>263</v>
      </c>
      <c r="D88" s="1">
        <v>545406.0</v>
      </c>
      <c r="E88" s="1">
        <v>135747.0</v>
      </c>
      <c r="F88" s="1" t="s">
        <v>264</v>
      </c>
      <c r="G88" s="1" t="str">
        <f>IFERROR(__xludf.DUMMYFUNCTION("GOOGLETRANSLATE(F88, ""de"", ""en"")"),"The white chalk cliffs and ancient beech forests of the Jasmund National Park are a UNESCO World Heritage Site and an inspiration for romantic painters.")</f>
        <v>The white chalk cliffs and ancient beech forests of the Jasmund National Park are a UNESCO World Heritage Site and an inspiration for romantic painters.</v>
      </c>
    </row>
    <row r="89" ht="15.75" customHeight="1">
      <c r="A89" s="1">
        <v>88.0</v>
      </c>
      <c r="B89" s="1" t="s">
        <v>265</v>
      </c>
      <c r="C89" s="1" t="s">
        <v>266</v>
      </c>
      <c r="D89" s="1">
        <v>540536.0</v>
      </c>
      <c r="E89" s="1">
        <v>142743.0</v>
      </c>
      <c r="F89" s="1" t="s">
        <v>267</v>
      </c>
      <c r="G89" s="1" t="str">
        <f>IFERROR(__xludf.DUMMYFUNCTION("GOOGLETRANSLATE(F89, ""de"", ""en"")"),"Since 1900, Ahlbeck, Heringsdorf and Bansin have attracted the Berlin bourgeoisie to the Baltic Sea with their piers and resort architecture.")</f>
        <v>Since 1900, Ahlbeck, Heringsdorf and Bansin have attracted the Berlin bourgeoisie to the Baltic Sea with their piers and resort architecture.</v>
      </c>
    </row>
    <row r="90" ht="15.75" customHeight="1">
      <c r="A90" s="1">
        <v>89.0</v>
      </c>
      <c r="B90" s="1" t="s">
        <v>268</v>
      </c>
      <c r="C90" s="1" t="s">
        <v>269</v>
      </c>
      <c r="D90" s="1">
        <v>538923.0</v>
      </c>
      <c r="E90" s="1">
        <v>114628.0</v>
      </c>
      <c r="F90" s="1" t="s">
        <v>270</v>
      </c>
      <c r="G90" s="1" t="str">
        <f>IFERROR(__xludf.DUMMYFUNCTION("GOOGLETRANSLATE(F90, ""de"", ""en"")"),"Gable houses, water art and brick churches testify to Wismar's Hanseatic past and made the old town a world cultural heritage site.")</f>
        <v>Gable houses, water art and brick churches testify to Wismar's Hanseatic past and made the old town a world cultural heritage site.</v>
      </c>
    </row>
    <row r="91" ht="15.75" customHeight="1">
      <c r="A91" s="1">
        <v>90.0</v>
      </c>
      <c r="B91" s="1" t="s">
        <v>271</v>
      </c>
      <c r="C91" s="1" t="s">
        <v>271</v>
      </c>
      <c r="D91" s="1">
        <v>536294.0</v>
      </c>
      <c r="E91" s="1">
        <v>114154.0</v>
      </c>
      <c r="F91" s="1" t="s">
        <v>272</v>
      </c>
      <c r="G91" s="1" t="str">
        <f>IFERROR(__xludf.DUMMYFUNCTION("GOOGLETRANSLATE(F91, ""de"", ""en"")"),"The romantic island castle with towers and a golden spire is the seat of the Mecklenburg-Western Pomerania state parliament and a fairytale motif.")</f>
        <v>The romantic island castle with towers and a golden spire is the seat of the Mecklenburg-Western Pomerania state parliament and a fairytale motif.</v>
      </c>
    </row>
    <row r="92" ht="15.75" customHeight="1">
      <c r="A92" s="1">
        <v>91.0</v>
      </c>
      <c r="B92" s="1" t="s">
        <v>273</v>
      </c>
      <c r="C92" s="1" t="s">
        <v>274</v>
      </c>
      <c r="D92" s="1">
        <v>538683.0</v>
      </c>
      <c r="E92" s="1">
        <v>106873.0</v>
      </c>
      <c r="F92" s="1" t="s">
        <v>275</v>
      </c>
      <c r="G92" s="1" t="str">
        <f>IFERROR(__xludf.DUMMYFUNCTION("GOOGLETRANSLATE(F92, ""de"", ""en"")"),"The late Gothic Holstentor (1464–1478) with twin towers is Lübeck's landmark and is reminiscent of the heyday of the Hanseatic League.")</f>
        <v>The late Gothic Holstentor (1464–1478) with twin towers is Lübeck's landmark and is reminiscent of the heyday of the Hanseatic League.</v>
      </c>
    </row>
    <row r="93" ht="15.75" customHeight="1">
      <c r="A93" s="1">
        <v>92.0</v>
      </c>
      <c r="B93" s="1" t="s">
        <v>276</v>
      </c>
      <c r="C93" s="1" t="s">
        <v>277</v>
      </c>
      <c r="D93" s="1">
        <v>535496.0</v>
      </c>
      <c r="E93" s="1">
        <v>99882.0</v>
      </c>
      <c r="F93" s="1" t="s">
        <v>278</v>
      </c>
      <c r="G93" s="1" t="str">
        <f>IFERROR(__xludf.DUMMYFUNCTION("GOOGLETRANSLATE(F93, ""de"", ""en"")"),"The baroque Michel with a 132 m tower offers sailors orientation and Hamburg residents an identity-forming landmark.")</f>
        <v>The baroque Michel with a 132 m tower offers sailors orientation and Hamburg residents an identity-forming landmark.</v>
      </c>
    </row>
    <row r="94" ht="15.75" customHeight="1">
      <c r="A94" s="1">
        <v>93.0</v>
      </c>
      <c r="B94" s="1" t="s">
        <v>279</v>
      </c>
      <c r="C94" s="1" t="s">
        <v>280</v>
      </c>
      <c r="D94" s="1">
        <v>535411.0</v>
      </c>
      <c r="E94" s="1">
        <v>99847.0</v>
      </c>
      <c r="F94" s="1" t="s">
        <v>281</v>
      </c>
      <c r="G94" s="1" t="str">
        <f>IFERROR(__xludf.DUMMYFUNCTION("GOOGLETRANSLATE(F94, ""de"", ""en"")"),"The concert hall, which opened in 2017, combines modern glass wave construction on the historic quay storage and sets acoustic standards.")</f>
        <v>The concert hall, which opened in 2017, combines modern glass wave construction on the historic quay storage and sets acoustic standards.</v>
      </c>
    </row>
    <row r="95" ht="15.75" customHeight="1">
      <c r="A95" s="1">
        <v>94.0</v>
      </c>
      <c r="B95" s="1" t="s">
        <v>282</v>
      </c>
      <c r="C95" s="1" t="s">
        <v>283</v>
      </c>
      <c r="D95" s="1">
        <v>535462.0</v>
      </c>
      <c r="E95" s="1">
        <v>99667.0</v>
      </c>
      <c r="F95" s="1" t="s">
        <v>284</v>
      </c>
      <c r="G95" s="1" t="str">
        <f>IFERROR(__xludf.DUMMYFUNCTION("GOOGLETRANSLATE(F95, ""de"", ""en"")"),"Europe's largest harbor festival has been celebrating Hamburg's shipping since 1189 with incoming and outgoing parades of everything from sailing ships to cruise ships.")</f>
        <v>Europe's largest harbor festival has been celebrating Hamburg's shipping since 1189 with incoming and outgoing parades of everything from sailing ships to cruise ships.</v>
      </c>
    </row>
    <row r="96" ht="15.75" customHeight="1">
      <c r="A96" s="1">
        <v>95.0</v>
      </c>
      <c r="B96" s="1" t="s">
        <v>285</v>
      </c>
      <c r="C96" s="1" t="s">
        <v>286</v>
      </c>
      <c r="D96" s="1">
        <v>535503.0</v>
      </c>
      <c r="E96" s="1">
        <v>99668.0</v>
      </c>
      <c r="F96" s="1" t="s">
        <v>287</v>
      </c>
      <c r="G96" s="1" t="str">
        <f>IFERROR(__xludf.DUMMYFUNCTION("GOOGLETRANSLATE(F96, ""de"", ""en"")"),"St. Pauli's Reeperbahn is a world-famous entertainment and red light district, where the Beatles had their breakthrough in the 1960s.")</f>
        <v>St. Pauli's Reeperbahn is a world-famous entertainment and red light district, where the Beatles had their breakthrough in the 1960s.</v>
      </c>
    </row>
    <row r="97" ht="15.75" customHeight="1">
      <c r="A97" s="1">
        <v>96.0</v>
      </c>
      <c r="B97" s="1" t="s">
        <v>288</v>
      </c>
      <c r="C97" s="1" t="s">
        <v>289</v>
      </c>
      <c r="D97" s="1">
        <v>543215.0</v>
      </c>
      <c r="E97" s="1">
        <v>10131.0</v>
      </c>
      <c r="F97" s="1" t="s">
        <v>290</v>
      </c>
      <c r="G97" s="1" t="str">
        <f>IFERROR(__xludf.DUMMYFUNCTION("GOOGLETRANSLATE(F97, ""de"", ""en"")"),"THW Kiel, multiple German and Champions League winner, ensures a world-class handball atmosphere in the Wunderino Arena.")</f>
        <v>THW Kiel, multiple German and Champions League winner, ensures a world-class handball atmosphere in the Wunderino Arena.</v>
      </c>
    </row>
    <row r="98" ht="15.75" customHeight="1">
      <c r="A98" s="1">
        <v>97.0</v>
      </c>
      <c r="B98" s="1" t="s">
        <v>291</v>
      </c>
      <c r="C98" s="1" t="s">
        <v>292</v>
      </c>
      <c r="D98" s="1">
        <v>543233.0</v>
      </c>
      <c r="E98" s="1">
        <v>10139.0</v>
      </c>
      <c r="F98" s="1" t="s">
        <v>293</v>
      </c>
      <c r="G98" s="1" t="str">
        <f>IFERROR(__xludf.DUMMYFUNCTION("GOOGLETRANSLATE(F98, ""de"", ""en"")"),"Since 1882, the Kiel Week has been the largest sailing event in the world; Regattas and a maritime festival enliven the fjord for a week.")</f>
        <v>Since 1882, the Kiel Week has been the largest sailing event in the world; Regattas and a maritime festival enliven the fjord for a week.</v>
      </c>
    </row>
    <row r="99" ht="15.75" customHeight="1">
      <c r="A99" s="1">
        <v>98.0</v>
      </c>
      <c r="B99" s="1" t="s">
        <v>294</v>
      </c>
      <c r="C99" s="1" t="s">
        <v>295</v>
      </c>
      <c r="D99" s="1">
        <v>543433.0</v>
      </c>
      <c r="E99" s="1">
        <v>101247.0</v>
      </c>
      <c r="F99" s="1" t="s">
        <v>296</v>
      </c>
      <c r="G99" s="1" t="str">
        <f>IFERROR(__xludf.DUMMYFUNCTION("GOOGLETRANSLATE(F99, ""de"", ""en"")"),"The Kiel-born physicist Max Planck (1858–1947) founded modern physics with his quantum theory.")</f>
        <v>The Kiel-born physicist Max Planck (1858–1947) founded modern physics with his quantum theory.</v>
      </c>
    </row>
    <row r="100" ht="15.75" customHeight="1">
      <c r="A100" s="1">
        <v>99.0</v>
      </c>
      <c r="B100" s="1" t="s">
        <v>297</v>
      </c>
      <c r="C100" s="1" t="s">
        <v>298</v>
      </c>
      <c r="D100" s="1">
        <v>549063.0</v>
      </c>
      <c r="E100" s="1">
        <v>83028.0</v>
      </c>
      <c r="F100" s="1" t="s">
        <v>299</v>
      </c>
      <c r="G100" s="1" t="str">
        <f>IFERROR(__xludf.DUMMYFUNCTION("GOOGLETRANSLATE(F100, ""de"", ""en"")"),"Sylt combines spa tradition, endless sandy beaches and celebrity flair; Beach chairs and thatched villages characterize Germany's most famous North Sea island.")</f>
        <v>Sylt combines spa tradition, endless sandy beaches and celebrity flair; Beach chairs and thatched villages characterize Germany's most famous North Sea island.</v>
      </c>
    </row>
    <row r="101" ht="15.75" customHeight="1">
      <c r="A101" s="1">
        <v>100.0</v>
      </c>
      <c r="B101" s="1" t="s">
        <v>300</v>
      </c>
      <c r="C101" s="1" t="s">
        <v>301</v>
      </c>
      <c r="D101" s="1">
        <v>521317.0</v>
      </c>
      <c r="E101" s="1">
        <v>116394.0</v>
      </c>
      <c r="F101" s="1" t="s">
        <v>302</v>
      </c>
      <c r="G101" s="1" t="str">
        <f>IFERROR(__xludf.DUMMYFUNCTION("GOOGLETRANSLATE(F101, ""de"", ""en"")"),"The art museum in the Monastery of Our Lady combines Romanesque architecture with international contemporary art - a symbol of modern Magdeburg.")</f>
        <v>The art museum in the Monastery of Our Lady combines Romanesque architecture with international contemporary art - a symbol of modern Magdeburg.</v>
      </c>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87401575" footer="0.0" header="0.0" left="0.7" right="0.7" top="0.7874015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43"/>
    <col customWidth="1" min="2" max="2" width="27.43"/>
    <col customWidth="1" min="3" max="3" width="38.0"/>
    <col customWidth="1" min="4" max="4" width="10.57"/>
    <col customWidth="1" min="5" max="5" width="12.14"/>
    <col customWidth="1" min="6" max="6" width="81.14"/>
    <col customWidth="1" min="7" max="26" width="10.71"/>
  </cols>
  <sheetData>
    <row r="1">
      <c r="A1" s="1" t="s">
        <v>0</v>
      </c>
      <c r="B1" s="1" t="s">
        <v>1</v>
      </c>
      <c r="C1" s="1" t="s">
        <v>2</v>
      </c>
      <c r="D1" s="1" t="s">
        <v>3</v>
      </c>
      <c r="E1" s="1" t="s">
        <v>4</v>
      </c>
      <c r="F1" s="1" t="s">
        <v>303</v>
      </c>
    </row>
    <row r="2">
      <c r="A2" s="1">
        <v>1.0</v>
      </c>
      <c r="B2" s="1" t="s">
        <v>6</v>
      </c>
      <c r="C2" s="1" t="s">
        <v>304</v>
      </c>
      <c r="D2" s="1">
        <v>501096.0</v>
      </c>
      <c r="E2" s="1">
        <v>86724.0</v>
      </c>
      <c r="F2" s="1" t="s">
        <v>305</v>
      </c>
    </row>
    <row r="3">
      <c r="A3" s="1">
        <v>2.0</v>
      </c>
      <c r="B3" s="1" t="s">
        <v>9</v>
      </c>
      <c r="C3" s="1" t="s">
        <v>306</v>
      </c>
      <c r="D3" s="1">
        <v>501106.0</v>
      </c>
      <c r="E3" s="1">
        <v>86821.0</v>
      </c>
      <c r="F3" s="1" t="s">
        <v>307</v>
      </c>
    </row>
    <row r="4">
      <c r="A4" s="1">
        <v>3.0</v>
      </c>
      <c r="B4" s="1" t="s">
        <v>12</v>
      </c>
      <c r="C4" s="1" t="s">
        <v>308</v>
      </c>
      <c r="D4" s="1">
        <v>500826.0</v>
      </c>
      <c r="E4" s="1">
        <v>82435.0</v>
      </c>
      <c r="F4" s="1" t="s">
        <v>309</v>
      </c>
    </row>
    <row r="5">
      <c r="A5" s="1">
        <v>4.0</v>
      </c>
      <c r="B5" s="1" t="s">
        <v>15</v>
      </c>
      <c r="C5" s="1" t="s">
        <v>310</v>
      </c>
      <c r="D5" s="1">
        <v>499983.0</v>
      </c>
      <c r="E5" s="1">
        <v>82711.0</v>
      </c>
      <c r="F5" s="1" t="s">
        <v>311</v>
      </c>
    </row>
    <row r="6">
      <c r="A6" s="1">
        <v>5.0</v>
      </c>
      <c r="B6" s="1" t="s">
        <v>18</v>
      </c>
      <c r="C6" s="1" t="s">
        <v>312</v>
      </c>
      <c r="D6" s="1">
        <v>499992.0</v>
      </c>
      <c r="E6" s="1">
        <v>79433.0</v>
      </c>
      <c r="F6" s="1" t="s">
        <v>313</v>
      </c>
    </row>
    <row r="7">
      <c r="A7" s="1">
        <v>6.0</v>
      </c>
      <c r="B7" s="1" t="s">
        <v>21</v>
      </c>
      <c r="C7" s="1" t="s">
        <v>314</v>
      </c>
      <c r="D7" s="1">
        <v>49804.0</v>
      </c>
      <c r="E7" s="1">
        <v>7967.0</v>
      </c>
      <c r="F7" s="1" t="s">
        <v>315</v>
      </c>
    </row>
    <row r="8">
      <c r="A8" s="1">
        <v>7.0</v>
      </c>
      <c r="B8" s="1" t="s">
        <v>24</v>
      </c>
      <c r="C8" s="1" t="s">
        <v>316</v>
      </c>
      <c r="D8" s="1">
        <v>501389.0</v>
      </c>
      <c r="E8" s="1">
        <v>77089.0</v>
      </c>
      <c r="F8" s="1" t="s">
        <v>26</v>
      </c>
    </row>
    <row r="9">
      <c r="A9" s="1">
        <v>8.0</v>
      </c>
      <c r="B9" s="1" t="s">
        <v>27</v>
      </c>
      <c r="C9" s="1" t="s">
        <v>317</v>
      </c>
      <c r="D9" s="1">
        <v>501172.0</v>
      </c>
      <c r="E9" s="1">
        <v>76071.0</v>
      </c>
      <c r="F9" s="1" t="s">
        <v>318</v>
      </c>
    </row>
    <row r="10">
      <c r="A10" s="1">
        <v>9.0</v>
      </c>
      <c r="B10" s="1" t="s">
        <v>30</v>
      </c>
      <c r="C10" s="1" t="s">
        <v>319</v>
      </c>
      <c r="D10" s="1">
        <v>503569.0</v>
      </c>
      <c r="E10" s="1">
        <v>75881.0</v>
      </c>
      <c r="F10" s="1" t="s">
        <v>320</v>
      </c>
    </row>
    <row r="11">
      <c r="A11" s="1">
        <v>10.0</v>
      </c>
      <c r="B11" s="1" t="s">
        <v>33</v>
      </c>
      <c r="C11" s="1" t="s">
        <v>321</v>
      </c>
      <c r="D11" s="1">
        <v>503341.0</v>
      </c>
      <c r="E11" s="1">
        <v>69476.0</v>
      </c>
      <c r="F11" s="1" t="s">
        <v>322</v>
      </c>
    </row>
    <row r="12">
      <c r="A12" s="1">
        <v>11.0</v>
      </c>
      <c r="B12" s="1" t="s">
        <v>36</v>
      </c>
      <c r="C12" s="1" t="s">
        <v>323</v>
      </c>
      <c r="D12" s="1">
        <v>507368.0</v>
      </c>
      <c r="E12" s="1">
        <v>7101.0</v>
      </c>
      <c r="F12" s="1" t="s">
        <v>324</v>
      </c>
    </row>
    <row r="13">
      <c r="A13" s="1">
        <v>12.0</v>
      </c>
      <c r="B13" s="1" t="s">
        <v>325</v>
      </c>
      <c r="C13" s="1" t="s">
        <v>326</v>
      </c>
      <c r="D13" s="1">
        <v>509403.0</v>
      </c>
      <c r="E13" s="1">
        <v>6957.0</v>
      </c>
      <c r="F13" s="1" t="s">
        <v>327</v>
      </c>
    </row>
    <row r="14">
      <c r="A14" s="1">
        <v>13.0</v>
      </c>
      <c r="B14" s="1" t="s">
        <v>42</v>
      </c>
      <c r="C14" s="1" t="s">
        <v>328</v>
      </c>
      <c r="D14" s="1">
        <v>509413.0</v>
      </c>
      <c r="E14" s="1">
        <v>69583.0</v>
      </c>
      <c r="F14" s="1" t="s">
        <v>329</v>
      </c>
    </row>
    <row r="15">
      <c r="A15" s="1">
        <v>14.0</v>
      </c>
      <c r="B15" s="1" t="s">
        <v>45</v>
      </c>
      <c r="C15" s="1" t="s">
        <v>330</v>
      </c>
      <c r="D15" s="1">
        <v>512275.0</v>
      </c>
      <c r="E15" s="1">
        <v>6937.0</v>
      </c>
      <c r="F15" s="1" t="s">
        <v>331</v>
      </c>
    </row>
    <row r="16">
      <c r="A16" s="1">
        <v>15.0</v>
      </c>
      <c r="B16" s="1" t="s">
        <v>48</v>
      </c>
      <c r="C16" s="1" t="s">
        <v>332</v>
      </c>
      <c r="D16" s="1">
        <v>512277.0</v>
      </c>
      <c r="E16" s="1">
        <v>67735.0</v>
      </c>
      <c r="F16" s="1" t="s">
        <v>333</v>
      </c>
    </row>
    <row r="17">
      <c r="A17" s="1">
        <v>16.0</v>
      </c>
      <c r="B17" s="1" t="s">
        <v>51</v>
      </c>
      <c r="C17" s="1" t="s">
        <v>334</v>
      </c>
      <c r="D17" s="1">
        <v>514344.0</v>
      </c>
      <c r="E17" s="1">
        <v>67573.0</v>
      </c>
      <c r="F17" s="1" t="s">
        <v>335</v>
      </c>
    </row>
    <row r="18">
      <c r="A18" s="1">
        <v>17.0</v>
      </c>
      <c r="B18" s="1" t="s">
        <v>54</v>
      </c>
      <c r="C18" s="1" t="s">
        <v>336</v>
      </c>
      <c r="D18" s="1">
        <v>514839.0</v>
      </c>
      <c r="E18" s="1">
        <v>70226.0</v>
      </c>
      <c r="F18" s="1" t="s">
        <v>56</v>
      </c>
    </row>
    <row r="19">
      <c r="A19" s="1">
        <v>18.0</v>
      </c>
      <c r="B19" s="1" t="s">
        <v>57</v>
      </c>
      <c r="C19" s="1" t="s">
        <v>337</v>
      </c>
      <c r="D19" s="1">
        <v>5149.0</v>
      </c>
      <c r="E19" s="1">
        <v>70375.0</v>
      </c>
      <c r="F19" s="1" t="s">
        <v>338</v>
      </c>
    </row>
    <row r="20">
      <c r="A20" s="1">
        <v>19.0</v>
      </c>
      <c r="B20" s="1" t="s">
        <v>339</v>
      </c>
      <c r="C20" s="1" t="s">
        <v>340</v>
      </c>
      <c r="D20" s="1">
        <v>514925.0</v>
      </c>
      <c r="E20" s="1">
        <v>74517.0</v>
      </c>
      <c r="F20" s="1" t="s">
        <v>341</v>
      </c>
    </row>
    <row r="21" ht="15.75" customHeight="1">
      <c r="A21" s="1">
        <v>20.0</v>
      </c>
      <c r="B21" s="1" t="s">
        <v>342</v>
      </c>
      <c r="C21" s="1" t="s">
        <v>343</v>
      </c>
      <c r="D21" s="1">
        <v>519628.0</v>
      </c>
      <c r="E21" s="1">
        <v>76254.0</v>
      </c>
      <c r="F21" s="1" t="s">
        <v>344</v>
      </c>
    </row>
    <row r="22" ht="15.75" customHeight="1">
      <c r="A22" s="1">
        <v>21.0</v>
      </c>
      <c r="B22" s="1" t="s">
        <v>66</v>
      </c>
      <c r="C22" s="1" t="s">
        <v>345</v>
      </c>
      <c r="D22" s="1">
        <v>520302.0</v>
      </c>
      <c r="E22" s="1">
        <v>85325.0</v>
      </c>
      <c r="F22" s="1" t="s">
        <v>346</v>
      </c>
    </row>
    <row r="23" ht="15.75" customHeight="1">
      <c r="A23" s="1">
        <v>22.0</v>
      </c>
      <c r="B23" s="1" t="s">
        <v>69</v>
      </c>
      <c r="C23" s="1" t="s">
        <v>347</v>
      </c>
      <c r="D23" s="1">
        <v>523759.0</v>
      </c>
      <c r="E23" s="1">
        <v>9732.0</v>
      </c>
      <c r="F23" s="1" t="s">
        <v>348</v>
      </c>
    </row>
    <row r="24" ht="15.75" customHeight="1">
      <c r="A24" s="1">
        <v>23.0</v>
      </c>
      <c r="B24" s="1" t="s">
        <v>72</v>
      </c>
      <c r="C24" s="1" t="s">
        <v>349</v>
      </c>
      <c r="D24" s="1">
        <v>523759.0</v>
      </c>
      <c r="E24" s="1">
        <v>9732.0</v>
      </c>
      <c r="F24" s="1" t="s">
        <v>350</v>
      </c>
    </row>
    <row r="25" ht="15.75" customHeight="1">
      <c r="A25" s="1">
        <v>24.0</v>
      </c>
      <c r="B25" s="1" t="s">
        <v>75</v>
      </c>
      <c r="C25" s="1" t="s">
        <v>351</v>
      </c>
      <c r="D25" s="1">
        <v>523728.0</v>
      </c>
      <c r="E25" s="1">
        <v>97441.0</v>
      </c>
      <c r="F25" s="1" t="s">
        <v>77</v>
      </c>
    </row>
    <row r="26" ht="15.75" customHeight="1">
      <c r="A26" s="1">
        <v>25.0</v>
      </c>
      <c r="B26" s="1" t="s">
        <v>78</v>
      </c>
      <c r="C26" s="1" t="s">
        <v>352</v>
      </c>
      <c r="D26" s="1">
        <v>523909.0</v>
      </c>
      <c r="E26" s="1">
        <v>97335.0</v>
      </c>
      <c r="F26" s="1" t="s">
        <v>353</v>
      </c>
    </row>
    <row r="27" ht="15.75" customHeight="1">
      <c r="A27" s="1">
        <v>26.0</v>
      </c>
      <c r="B27" s="1" t="s">
        <v>354</v>
      </c>
      <c r="C27" s="1" t="s">
        <v>354</v>
      </c>
      <c r="D27" s="1">
        <v>522689.0</v>
      </c>
      <c r="E27" s="1">
        <v>105268.0</v>
      </c>
      <c r="F27" s="1" t="s">
        <v>355</v>
      </c>
    </row>
    <row r="28" ht="15.75" customHeight="1">
      <c r="A28" s="1">
        <v>27.0</v>
      </c>
      <c r="B28" s="1" t="s">
        <v>83</v>
      </c>
      <c r="C28" s="1" t="s">
        <v>356</v>
      </c>
      <c r="D28" s="1">
        <v>524224.0</v>
      </c>
      <c r="E28" s="1">
        <v>107864.0</v>
      </c>
      <c r="F28" s="1" t="s">
        <v>357</v>
      </c>
    </row>
    <row r="29" ht="15.75" customHeight="1">
      <c r="A29" s="1">
        <v>28.0</v>
      </c>
      <c r="B29" s="1" t="s">
        <v>358</v>
      </c>
      <c r="C29" s="1" t="s">
        <v>359</v>
      </c>
      <c r="D29" s="1">
        <v>524225.0</v>
      </c>
      <c r="E29" s="1">
        <v>107864.0</v>
      </c>
      <c r="F29" s="1" t="s">
        <v>360</v>
      </c>
    </row>
    <row r="30" ht="15.75" customHeight="1">
      <c r="A30" s="1">
        <v>29.0</v>
      </c>
      <c r="B30" s="1" t="s">
        <v>89</v>
      </c>
      <c r="C30" s="1" t="s">
        <v>361</v>
      </c>
      <c r="D30" s="1">
        <v>519045.0</v>
      </c>
      <c r="E30" s="1">
        <v>104297.0</v>
      </c>
      <c r="F30" s="1" t="s">
        <v>91</v>
      </c>
    </row>
    <row r="31" ht="15.75" customHeight="1">
      <c r="A31" s="1">
        <v>30.0</v>
      </c>
      <c r="B31" s="1" t="s">
        <v>362</v>
      </c>
      <c r="C31" s="1" t="s">
        <v>363</v>
      </c>
      <c r="D31" s="1">
        <v>515403.0</v>
      </c>
      <c r="E31" s="1">
        <v>99357.0</v>
      </c>
      <c r="F31" s="1" t="s">
        <v>364</v>
      </c>
    </row>
    <row r="32" ht="15.75" customHeight="1">
      <c r="A32" s="1">
        <v>31.0</v>
      </c>
      <c r="B32" s="1" t="s">
        <v>365</v>
      </c>
      <c r="C32" s="1" t="s">
        <v>366</v>
      </c>
      <c r="D32" s="1">
        <v>513155.0</v>
      </c>
      <c r="E32" s="1">
        <v>94962.0</v>
      </c>
      <c r="F32" s="1" t="s">
        <v>367</v>
      </c>
    </row>
    <row r="33" ht="15.75" customHeight="1">
      <c r="A33" s="1">
        <v>32.0</v>
      </c>
      <c r="B33" s="1" t="s">
        <v>98</v>
      </c>
      <c r="C33" s="1" t="s">
        <v>368</v>
      </c>
      <c r="D33" s="1">
        <v>513118.0</v>
      </c>
      <c r="E33" s="1">
        <v>9497.0</v>
      </c>
      <c r="F33" s="1" t="s">
        <v>369</v>
      </c>
    </row>
    <row r="34" ht="15.75" customHeight="1">
      <c r="A34" s="1">
        <v>33.0</v>
      </c>
      <c r="B34" s="1" t="s">
        <v>101</v>
      </c>
      <c r="C34" s="1" t="s">
        <v>370</v>
      </c>
      <c r="D34" s="1">
        <v>513116.0</v>
      </c>
      <c r="E34" s="1">
        <v>94797.0</v>
      </c>
      <c r="F34" s="1" t="s">
        <v>371</v>
      </c>
    </row>
    <row r="35" ht="15.75" customHeight="1">
      <c r="A35" s="1">
        <v>34.0</v>
      </c>
      <c r="B35" s="1" t="s">
        <v>104</v>
      </c>
      <c r="C35" s="1" t="s">
        <v>372</v>
      </c>
      <c r="D35" s="1">
        <v>509711.0</v>
      </c>
      <c r="E35" s="1">
        <v>103277.0</v>
      </c>
      <c r="F35" s="1" t="s">
        <v>373</v>
      </c>
    </row>
    <row r="36" ht="15.75" customHeight="1">
      <c r="A36" s="1">
        <v>35.0</v>
      </c>
      <c r="B36" s="1" t="s">
        <v>107</v>
      </c>
      <c r="C36" s="1" t="s">
        <v>374</v>
      </c>
      <c r="D36" s="1">
        <v>509848.0</v>
      </c>
      <c r="E36" s="1">
        <v>110299.0</v>
      </c>
      <c r="F36" s="1" t="s">
        <v>375</v>
      </c>
    </row>
    <row r="37" ht="15.75" customHeight="1">
      <c r="A37" s="1">
        <v>36.0</v>
      </c>
      <c r="B37" s="1" t="s">
        <v>110</v>
      </c>
      <c r="C37" s="1" t="s">
        <v>376</v>
      </c>
      <c r="D37" s="1">
        <v>509795.0</v>
      </c>
      <c r="E37" s="1">
        <v>11329.0</v>
      </c>
      <c r="F37" s="1" t="s">
        <v>377</v>
      </c>
    </row>
    <row r="38" ht="15.75" customHeight="1">
      <c r="A38" s="1">
        <v>37.0</v>
      </c>
      <c r="B38" s="1" t="s">
        <v>113</v>
      </c>
      <c r="C38" s="1" t="s">
        <v>378</v>
      </c>
      <c r="D38" s="1">
        <v>509793.0</v>
      </c>
      <c r="E38" s="1">
        <v>113292.0</v>
      </c>
      <c r="F38" s="1" t="s">
        <v>379</v>
      </c>
    </row>
    <row r="39" ht="15.75" customHeight="1">
      <c r="A39" s="1">
        <v>38.0</v>
      </c>
      <c r="B39" s="1" t="s">
        <v>116</v>
      </c>
      <c r="C39" s="1" t="s">
        <v>380</v>
      </c>
      <c r="D39" s="1">
        <v>505451.0</v>
      </c>
      <c r="E39" s="1">
        <v>112147.0</v>
      </c>
      <c r="F39" s="1" t="s">
        <v>381</v>
      </c>
    </row>
    <row r="40" ht="15.75" customHeight="1">
      <c r="A40" s="1">
        <v>39.0</v>
      </c>
      <c r="B40" s="1" t="s">
        <v>119</v>
      </c>
      <c r="C40" s="1" t="s">
        <v>382</v>
      </c>
      <c r="D40" s="1">
        <v>505477.0</v>
      </c>
      <c r="E40" s="1">
        <v>111681.0</v>
      </c>
      <c r="F40" s="1" t="s">
        <v>383</v>
      </c>
    </row>
    <row r="41" ht="15.75" customHeight="1">
      <c r="A41" s="1">
        <v>40.0</v>
      </c>
      <c r="B41" s="1" t="s">
        <v>122</v>
      </c>
      <c r="C41" s="1" t="s">
        <v>384</v>
      </c>
      <c r="D41" s="1">
        <v>502599.0</v>
      </c>
      <c r="E41" s="1">
        <v>109644.0</v>
      </c>
      <c r="F41" s="1" t="s">
        <v>385</v>
      </c>
    </row>
    <row r="42" ht="15.75" customHeight="1">
      <c r="A42" s="1">
        <v>41.0</v>
      </c>
      <c r="B42" s="1" t="s">
        <v>125</v>
      </c>
      <c r="C42" s="1" t="s">
        <v>386</v>
      </c>
      <c r="D42" s="1">
        <v>501011.0</v>
      </c>
      <c r="E42" s="1">
        <v>11438.0</v>
      </c>
      <c r="F42" s="1" t="s">
        <v>387</v>
      </c>
    </row>
    <row r="43" ht="15.75" customHeight="1">
      <c r="A43" s="1">
        <v>42.0</v>
      </c>
      <c r="B43" s="1" t="s">
        <v>128</v>
      </c>
      <c r="C43" s="1" t="s">
        <v>388</v>
      </c>
      <c r="D43" s="1">
        <v>501011.0</v>
      </c>
      <c r="E43" s="1">
        <v>11438.0</v>
      </c>
      <c r="F43" s="1" t="s">
        <v>389</v>
      </c>
    </row>
    <row r="44" ht="15.75" customHeight="1">
      <c r="A44" s="1">
        <v>43.0</v>
      </c>
      <c r="B44" s="1" t="s">
        <v>131</v>
      </c>
      <c r="C44" s="1" t="s">
        <v>390</v>
      </c>
      <c r="D44" s="1">
        <v>499487.0</v>
      </c>
      <c r="E44" s="1">
        <v>11576.0</v>
      </c>
      <c r="F44" s="1" t="s">
        <v>391</v>
      </c>
    </row>
    <row r="45" ht="15.75" customHeight="1">
      <c r="A45" s="1">
        <v>44.0</v>
      </c>
      <c r="B45" s="1" t="s">
        <v>134</v>
      </c>
      <c r="C45" s="1" t="s">
        <v>392</v>
      </c>
      <c r="D45" s="1">
        <v>499451.0</v>
      </c>
      <c r="E45" s="1">
        <v>115908.0</v>
      </c>
      <c r="F45" s="1" t="s">
        <v>393</v>
      </c>
    </row>
    <row r="46" ht="15.75" customHeight="1">
      <c r="A46" s="1">
        <v>45.0</v>
      </c>
      <c r="B46" s="1" t="s">
        <v>394</v>
      </c>
      <c r="C46" s="1" t="s">
        <v>395</v>
      </c>
      <c r="D46" s="1">
        <v>497631.0</v>
      </c>
      <c r="E46" s="1">
        <v>114062.0</v>
      </c>
      <c r="F46" s="1" t="s">
        <v>396</v>
      </c>
    </row>
    <row r="47" ht="15.75" customHeight="1">
      <c r="A47" s="1">
        <v>46.0</v>
      </c>
      <c r="B47" s="1" t="s">
        <v>140</v>
      </c>
      <c r="C47" s="1" t="s">
        <v>397</v>
      </c>
      <c r="D47" s="1">
        <v>498917.0</v>
      </c>
      <c r="E47" s="1">
        <v>108852.0</v>
      </c>
      <c r="F47" s="1" t="s">
        <v>398</v>
      </c>
    </row>
    <row r="48" ht="15.75" customHeight="1">
      <c r="A48" s="1">
        <v>47.0</v>
      </c>
      <c r="B48" s="1" t="s">
        <v>143</v>
      </c>
      <c r="C48" s="1" t="s">
        <v>399</v>
      </c>
      <c r="D48" s="1">
        <v>494542.0</v>
      </c>
      <c r="E48" s="1">
        <v>110773.0</v>
      </c>
      <c r="F48" s="1" t="s">
        <v>400</v>
      </c>
    </row>
    <row r="49" ht="15.75" customHeight="1">
      <c r="A49" s="1">
        <v>48.0</v>
      </c>
      <c r="B49" s="1" t="s">
        <v>146</v>
      </c>
      <c r="C49" s="1" t="s">
        <v>401</v>
      </c>
      <c r="D49" s="1">
        <v>494528.0</v>
      </c>
      <c r="E49" s="1">
        <v>11078.0</v>
      </c>
      <c r="F49" s="1" t="s">
        <v>402</v>
      </c>
    </row>
    <row r="50" ht="15.75" customHeight="1">
      <c r="A50" s="1">
        <v>49.0</v>
      </c>
      <c r="B50" s="1" t="s">
        <v>149</v>
      </c>
      <c r="C50" s="1" t="s">
        <v>403</v>
      </c>
      <c r="D50" s="1">
        <v>48765.0</v>
      </c>
      <c r="E50" s="1">
        <v>114257.0</v>
      </c>
      <c r="F50" s="1" t="s">
        <v>404</v>
      </c>
    </row>
    <row r="51" ht="15.75" customHeight="1">
      <c r="A51" s="1">
        <v>50.0</v>
      </c>
      <c r="B51" s="1" t="s">
        <v>405</v>
      </c>
      <c r="C51" s="1" t="s">
        <v>406</v>
      </c>
      <c r="D51" s="1">
        <v>482188.0</v>
      </c>
      <c r="E51" s="1">
        <v>116247.0</v>
      </c>
      <c r="F51" s="1" t="s">
        <v>407</v>
      </c>
    </row>
    <row r="52" ht="15.75" customHeight="1">
      <c r="A52" s="1">
        <v>51.0</v>
      </c>
      <c r="B52" s="1" t="s">
        <v>155</v>
      </c>
      <c r="C52" s="1" t="s">
        <v>408</v>
      </c>
      <c r="D52" s="1">
        <v>48174.0</v>
      </c>
      <c r="E52" s="1">
        <v>11546.0</v>
      </c>
      <c r="F52" s="1" t="s">
        <v>409</v>
      </c>
    </row>
    <row r="53" ht="15.75" customHeight="1">
      <c r="A53" s="1">
        <v>52.0</v>
      </c>
      <c r="B53" s="1" t="s">
        <v>158</v>
      </c>
      <c r="C53" s="1" t="s">
        <v>410</v>
      </c>
      <c r="D53" s="1">
        <v>4815.0</v>
      </c>
      <c r="E53" s="1">
        <v>1158.0</v>
      </c>
      <c r="F53" s="1" t="s">
        <v>411</v>
      </c>
    </row>
    <row r="54" ht="15.75" customHeight="1">
      <c r="A54" s="1">
        <v>53.0</v>
      </c>
      <c r="B54" s="1" t="s">
        <v>161</v>
      </c>
      <c r="C54" s="1" t="s">
        <v>412</v>
      </c>
      <c r="D54" s="1">
        <v>481312.0</v>
      </c>
      <c r="E54" s="1">
        <v>115497.0</v>
      </c>
      <c r="F54" s="1" t="s">
        <v>413</v>
      </c>
    </row>
    <row r="55" ht="15.75" customHeight="1">
      <c r="A55" s="1">
        <v>54.0</v>
      </c>
      <c r="B55" s="1" t="s">
        <v>164</v>
      </c>
      <c r="C55" s="1" t="s">
        <v>414</v>
      </c>
      <c r="D55" s="1">
        <v>475576.0</v>
      </c>
      <c r="E55" s="1">
        <v>107498.0</v>
      </c>
      <c r="F55" s="1" t="s">
        <v>415</v>
      </c>
    </row>
    <row r="56" ht="15.75" customHeight="1">
      <c r="A56" s="1">
        <v>55.0</v>
      </c>
      <c r="B56" s="1" t="s">
        <v>167</v>
      </c>
      <c r="C56" s="1" t="s">
        <v>416</v>
      </c>
      <c r="D56" s="1">
        <v>476514.0</v>
      </c>
      <c r="E56" s="1">
        <v>9478.0</v>
      </c>
      <c r="F56" s="1" t="s">
        <v>417</v>
      </c>
    </row>
    <row r="57" ht="15.75" customHeight="1">
      <c r="A57" s="1">
        <v>56.0</v>
      </c>
      <c r="B57" s="1" t="s">
        <v>170</v>
      </c>
      <c r="C57" s="1" t="s">
        <v>418</v>
      </c>
      <c r="D57" s="1">
        <v>484011.0</v>
      </c>
      <c r="E57" s="1">
        <v>99876.0</v>
      </c>
      <c r="F57" s="1" t="s">
        <v>419</v>
      </c>
    </row>
    <row r="58" ht="15.75" customHeight="1">
      <c r="A58" s="1">
        <v>57.0</v>
      </c>
      <c r="B58" s="1" t="s">
        <v>173</v>
      </c>
      <c r="C58" s="1" t="s">
        <v>420</v>
      </c>
      <c r="D58" s="1">
        <v>487904.0</v>
      </c>
      <c r="E58" s="1">
        <v>92183.0</v>
      </c>
      <c r="F58" s="1" t="s">
        <v>421</v>
      </c>
    </row>
    <row r="59" ht="15.75" customHeight="1">
      <c r="A59" s="1">
        <v>58.0</v>
      </c>
      <c r="B59" s="1" t="s">
        <v>422</v>
      </c>
      <c r="C59" s="1" t="s">
        <v>422</v>
      </c>
      <c r="D59" s="1">
        <v>494106.0</v>
      </c>
      <c r="E59" s="1">
        <v>87151.0</v>
      </c>
      <c r="F59" s="1" t="s">
        <v>423</v>
      </c>
    </row>
    <row r="60" ht="15.75" customHeight="1">
      <c r="A60" s="1">
        <v>59.0</v>
      </c>
      <c r="B60" s="1" t="s">
        <v>178</v>
      </c>
      <c r="C60" s="1" t="s">
        <v>424</v>
      </c>
      <c r="D60" s="1">
        <v>494875.0</v>
      </c>
      <c r="E60" s="1">
        <v>8466.0</v>
      </c>
      <c r="F60" s="1" t="s">
        <v>425</v>
      </c>
    </row>
    <row r="61" ht="15.75" customHeight="1">
      <c r="A61" s="1">
        <v>60.0</v>
      </c>
      <c r="B61" s="1" t="s">
        <v>181</v>
      </c>
      <c r="C61" s="1" t="s">
        <v>426</v>
      </c>
      <c r="D61" s="1">
        <v>497913.0</v>
      </c>
      <c r="E61" s="1">
        <v>99534.0</v>
      </c>
      <c r="F61" s="1" t="s">
        <v>427</v>
      </c>
    </row>
    <row r="62" ht="15.75" customHeight="1">
      <c r="A62" s="1">
        <v>61.0</v>
      </c>
      <c r="B62" s="1" t="s">
        <v>428</v>
      </c>
      <c r="C62" s="1" t="s">
        <v>429</v>
      </c>
      <c r="D62" s="1">
        <v>481275.0</v>
      </c>
      <c r="E62" s="1">
        <v>82364.0</v>
      </c>
      <c r="F62" s="1" t="s">
        <v>430</v>
      </c>
    </row>
    <row r="63" ht="15.75" customHeight="1">
      <c r="A63" s="1">
        <v>62.0</v>
      </c>
      <c r="B63" s="1" t="s">
        <v>187</v>
      </c>
      <c r="C63" s="1" t="s">
        <v>431</v>
      </c>
      <c r="D63" s="1">
        <v>507753.0</v>
      </c>
      <c r="E63" s="1">
        <v>60839.0</v>
      </c>
      <c r="F63" s="1" t="s">
        <v>432</v>
      </c>
    </row>
    <row r="64" ht="15.75" customHeight="1">
      <c r="A64" s="1">
        <v>63.0</v>
      </c>
      <c r="B64" s="1" t="s">
        <v>190</v>
      </c>
      <c r="C64" s="1" t="s">
        <v>433</v>
      </c>
      <c r="D64" s="1">
        <v>50776.0</v>
      </c>
      <c r="E64" s="1">
        <v>60839.0</v>
      </c>
      <c r="F64" s="1" t="s">
        <v>434</v>
      </c>
    </row>
    <row r="65" ht="15.75" customHeight="1">
      <c r="A65" s="1">
        <v>64.0</v>
      </c>
      <c r="B65" s="1" t="s">
        <v>193</v>
      </c>
      <c r="C65" s="1" t="s">
        <v>435</v>
      </c>
      <c r="D65" s="1">
        <v>515281.0</v>
      </c>
      <c r="E65" s="1">
        <v>115487.0</v>
      </c>
      <c r="F65" s="1" t="s">
        <v>436</v>
      </c>
    </row>
    <row r="66" ht="15.75" customHeight="1">
      <c r="A66" s="1">
        <v>65.0</v>
      </c>
      <c r="B66" s="1" t="s">
        <v>437</v>
      </c>
      <c r="C66" s="1" t="s">
        <v>438</v>
      </c>
      <c r="D66" s="1">
        <v>518349.0</v>
      </c>
      <c r="E66" s="1">
        <v>122424.0</v>
      </c>
      <c r="F66" s="1" t="s">
        <v>439</v>
      </c>
    </row>
    <row r="67" ht="15.75" customHeight="1">
      <c r="A67" s="1">
        <v>66.0</v>
      </c>
      <c r="B67" s="1" t="s">
        <v>440</v>
      </c>
      <c r="C67" s="1" t="s">
        <v>441</v>
      </c>
      <c r="D67" s="1">
        <v>518367.0</v>
      </c>
      <c r="E67" s="1">
        <v>122428.0</v>
      </c>
      <c r="F67" s="1" t="s">
        <v>442</v>
      </c>
    </row>
    <row r="68" ht="15.75" customHeight="1">
      <c r="A68" s="1">
        <v>67.0</v>
      </c>
      <c r="B68" s="1" t="s">
        <v>202</v>
      </c>
      <c r="C68" s="1" t="s">
        <v>443</v>
      </c>
      <c r="D68" s="1">
        <v>518661.0</v>
      </c>
      <c r="E68" s="1">
        <v>126477.0</v>
      </c>
      <c r="F68" s="1" t="s">
        <v>444</v>
      </c>
    </row>
    <row r="69" ht="15.75" customHeight="1">
      <c r="A69" s="1">
        <v>68.0</v>
      </c>
      <c r="B69" s="1" t="s">
        <v>205</v>
      </c>
      <c r="C69" s="1" t="s">
        <v>445</v>
      </c>
      <c r="D69" s="1">
        <v>513393.0</v>
      </c>
      <c r="E69" s="1">
        <v>123747.0</v>
      </c>
      <c r="F69" s="1" t="s">
        <v>446</v>
      </c>
    </row>
    <row r="70" ht="15.75" customHeight="1">
      <c r="A70" s="1">
        <v>69.0</v>
      </c>
      <c r="B70" s="1" t="s">
        <v>208</v>
      </c>
      <c r="C70" s="1" t="s">
        <v>447</v>
      </c>
      <c r="D70" s="1">
        <v>513388.0</v>
      </c>
      <c r="E70" s="1">
        <v>123723.0</v>
      </c>
      <c r="F70" s="1" t="s">
        <v>210</v>
      </c>
    </row>
    <row r="71" ht="15.75" customHeight="1">
      <c r="A71" s="1">
        <v>70.0</v>
      </c>
      <c r="B71" s="1" t="s">
        <v>448</v>
      </c>
      <c r="C71" s="1" t="s">
        <v>449</v>
      </c>
      <c r="D71" s="1">
        <v>513128.0</v>
      </c>
      <c r="E71" s="1">
        <v>124134.0</v>
      </c>
      <c r="F71" s="1" t="s">
        <v>450</v>
      </c>
    </row>
    <row r="72" ht="15.75" customHeight="1">
      <c r="A72" s="1">
        <v>71.0</v>
      </c>
      <c r="B72" s="1" t="s">
        <v>451</v>
      </c>
      <c r="C72" s="1" t="s">
        <v>452</v>
      </c>
      <c r="D72" s="1">
        <v>511642.0</v>
      </c>
      <c r="E72" s="1">
        <v>134827.0</v>
      </c>
      <c r="F72" s="1" t="s">
        <v>453</v>
      </c>
    </row>
    <row r="73" ht="15.75" customHeight="1">
      <c r="A73" s="1">
        <v>72.0</v>
      </c>
      <c r="B73" s="1" t="s">
        <v>217</v>
      </c>
      <c r="C73" s="1" t="s">
        <v>454</v>
      </c>
      <c r="D73" s="1">
        <v>523948.0</v>
      </c>
      <c r="E73" s="1">
        <v>130644.0</v>
      </c>
      <c r="F73" s="1" t="s">
        <v>455</v>
      </c>
    </row>
    <row r="74" ht="15.75" customHeight="1">
      <c r="A74" s="1">
        <v>73.0</v>
      </c>
      <c r="B74" s="1" t="s">
        <v>456</v>
      </c>
      <c r="C74" s="1" t="s">
        <v>457</v>
      </c>
      <c r="D74" s="1">
        <v>523969.0</v>
      </c>
      <c r="E74" s="1">
        <v>130586.0</v>
      </c>
      <c r="F74" s="1" t="s">
        <v>458</v>
      </c>
    </row>
    <row r="75" ht="15.75" customHeight="1">
      <c r="A75" s="1">
        <v>74.0</v>
      </c>
      <c r="B75" s="1" t="s">
        <v>223</v>
      </c>
      <c r="C75" s="1" t="s">
        <v>459</v>
      </c>
      <c r="D75" s="1">
        <v>524039.0</v>
      </c>
      <c r="E75" s="1">
        <v>130682.0</v>
      </c>
      <c r="F75" s="1" t="s">
        <v>460</v>
      </c>
    </row>
    <row r="76" ht="15.75" customHeight="1">
      <c r="A76" s="1">
        <v>75.0</v>
      </c>
      <c r="B76" s="1" t="s">
        <v>461</v>
      </c>
      <c r="C76" s="1" t="s">
        <v>462</v>
      </c>
      <c r="D76" s="1">
        <v>524731.0</v>
      </c>
      <c r="E76" s="1">
        <v>13403.0</v>
      </c>
      <c r="F76" s="1" t="s">
        <v>463</v>
      </c>
    </row>
    <row r="77" ht="15.75" customHeight="1">
      <c r="A77" s="1">
        <v>76.0</v>
      </c>
      <c r="B77" s="1" t="s">
        <v>229</v>
      </c>
      <c r="C77" s="1" t="s">
        <v>464</v>
      </c>
      <c r="D77" s="1">
        <v>525076.0</v>
      </c>
      <c r="E77" s="1">
        <v>133904.0</v>
      </c>
      <c r="F77" s="1" t="s">
        <v>465</v>
      </c>
    </row>
    <row r="78" ht="15.75" customHeight="1">
      <c r="A78" s="1">
        <v>77.0</v>
      </c>
      <c r="B78" s="1" t="s">
        <v>232</v>
      </c>
      <c r="C78" s="1" t="s">
        <v>466</v>
      </c>
      <c r="D78" s="1">
        <v>525163.0</v>
      </c>
      <c r="E78" s="1">
        <v>133777.0</v>
      </c>
      <c r="F78" s="1" t="s">
        <v>234</v>
      </c>
    </row>
    <row r="79" ht="15.75" customHeight="1">
      <c r="A79" s="1">
        <v>78.0</v>
      </c>
      <c r="B79" s="1" t="s">
        <v>235</v>
      </c>
      <c r="C79" s="1" t="s">
        <v>467</v>
      </c>
      <c r="D79" s="1">
        <v>525114.0</v>
      </c>
      <c r="E79" s="1">
        <v>13439.0</v>
      </c>
      <c r="F79" s="1" t="s">
        <v>468</v>
      </c>
    </row>
    <row r="80" ht="15.75" customHeight="1">
      <c r="A80" s="1">
        <v>79.0</v>
      </c>
      <c r="B80" s="1" t="s">
        <v>238</v>
      </c>
      <c r="C80" s="1" t="s">
        <v>469</v>
      </c>
      <c r="D80" s="1">
        <v>525045.0</v>
      </c>
      <c r="E80" s="1">
        <v>134408.0</v>
      </c>
      <c r="F80" s="1" t="s">
        <v>470</v>
      </c>
    </row>
    <row r="81" ht="15.75" customHeight="1">
      <c r="A81" s="1">
        <v>80.0</v>
      </c>
      <c r="B81" s="1" t="s">
        <v>241</v>
      </c>
      <c r="C81" s="1" t="s">
        <v>471</v>
      </c>
      <c r="D81" s="1">
        <v>53125.0</v>
      </c>
      <c r="E81" s="1">
        <v>13093.0</v>
      </c>
      <c r="F81" s="1" t="s">
        <v>472</v>
      </c>
    </row>
    <row r="82" ht="15.75" customHeight="1">
      <c r="A82" s="1">
        <v>81.0</v>
      </c>
      <c r="B82" s="1" t="s">
        <v>244</v>
      </c>
      <c r="C82" s="1" t="s">
        <v>473</v>
      </c>
      <c r="D82" s="1">
        <v>530913.0</v>
      </c>
      <c r="E82" s="1">
        <v>129084.0</v>
      </c>
      <c r="F82" s="1" t="s">
        <v>474</v>
      </c>
    </row>
    <row r="83" ht="15.75" customHeight="1">
      <c r="A83" s="1">
        <v>82.0</v>
      </c>
      <c r="B83" s="1" t="s">
        <v>475</v>
      </c>
      <c r="C83" s="1" t="s">
        <v>476</v>
      </c>
      <c r="D83" s="1">
        <v>535211.0</v>
      </c>
      <c r="E83" s="1">
        <v>126801.0</v>
      </c>
      <c r="F83" s="1" t="s">
        <v>477</v>
      </c>
    </row>
    <row r="84" ht="15.75" customHeight="1">
      <c r="A84" s="1">
        <v>83.0</v>
      </c>
      <c r="B84" s="1" t="s">
        <v>250</v>
      </c>
      <c r="C84" s="1" t="s">
        <v>478</v>
      </c>
      <c r="D84" s="1">
        <v>540865.0</v>
      </c>
      <c r="E84" s="1">
        <v>121095.0</v>
      </c>
      <c r="F84" s="1" t="s">
        <v>479</v>
      </c>
    </row>
    <row r="85" ht="15.75" customHeight="1">
      <c r="A85" s="1">
        <v>84.0</v>
      </c>
      <c r="B85" s="1" t="s">
        <v>253</v>
      </c>
      <c r="C85" s="1" t="s">
        <v>480</v>
      </c>
      <c r="D85" s="1">
        <v>543996.0</v>
      </c>
      <c r="E85" s="1">
        <v>124539.0</v>
      </c>
      <c r="F85" s="1" t="s">
        <v>481</v>
      </c>
    </row>
    <row r="86" ht="15.75" customHeight="1">
      <c r="A86" s="1">
        <v>85.0</v>
      </c>
      <c r="B86" s="1" t="s">
        <v>256</v>
      </c>
      <c r="C86" s="1" t="s">
        <v>482</v>
      </c>
      <c r="D86" s="1">
        <v>543126.0</v>
      </c>
      <c r="E86" s="1">
        <v>130929.0</v>
      </c>
      <c r="F86" s="1" t="s">
        <v>258</v>
      </c>
    </row>
    <row r="87" ht="15.75" customHeight="1">
      <c r="A87" s="1">
        <v>86.0</v>
      </c>
      <c r="B87" s="1" t="s">
        <v>259</v>
      </c>
      <c r="C87" s="1" t="s">
        <v>483</v>
      </c>
      <c r="D87" s="1">
        <v>540924.0</v>
      </c>
      <c r="E87" s="1">
        <v>134022.0</v>
      </c>
      <c r="F87" s="1" t="s">
        <v>484</v>
      </c>
    </row>
    <row r="88" ht="15.75" customHeight="1">
      <c r="A88" s="1">
        <v>87.0</v>
      </c>
      <c r="B88" s="1" t="s">
        <v>262</v>
      </c>
      <c r="C88" s="1" t="s">
        <v>485</v>
      </c>
      <c r="D88" s="1">
        <v>545406.0</v>
      </c>
      <c r="E88" s="1">
        <v>135747.0</v>
      </c>
      <c r="F88" s="1" t="s">
        <v>486</v>
      </c>
    </row>
    <row r="89" ht="15.75" customHeight="1">
      <c r="A89" s="1">
        <v>88.0</v>
      </c>
      <c r="B89" s="1" t="s">
        <v>487</v>
      </c>
      <c r="C89" s="1" t="s">
        <v>488</v>
      </c>
      <c r="D89" s="1">
        <v>540536.0</v>
      </c>
      <c r="E89" s="1">
        <v>142743.0</v>
      </c>
      <c r="F89" s="1" t="s">
        <v>489</v>
      </c>
    </row>
    <row r="90" ht="15.75" customHeight="1">
      <c r="A90" s="1">
        <v>89.0</v>
      </c>
      <c r="B90" s="1" t="s">
        <v>268</v>
      </c>
      <c r="C90" s="1" t="s">
        <v>490</v>
      </c>
      <c r="D90" s="1">
        <v>538923.0</v>
      </c>
      <c r="E90" s="1">
        <v>114628.0</v>
      </c>
      <c r="F90" s="1" t="s">
        <v>491</v>
      </c>
    </row>
    <row r="91" ht="15.75" customHeight="1">
      <c r="A91" s="1">
        <v>90.0</v>
      </c>
      <c r="B91" s="1" t="s">
        <v>492</v>
      </c>
      <c r="C91" s="1" t="s">
        <v>492</v>
      </c>
      <c r="D91" s="1">
        <v>536294.0</v>
      </c>
      <c r="E91" s="1">
        <v>114154.0</v>
      </c>
      <c r="F91" s="1" t="s">
        <v>493</v>
      </c>
    </row>
    <row r="92" ht="15.75" customHeight="1">
      <c r="A92" s="1">
        <v>91.0</v>
      </c>
      <c r="B92" s="1" t="s">
        <v>273</v>
      </c>
      <c r="C92" s="1" t="s">
        <v>494</v>
      </c>
      <c r="D92" s="1">
        <v>538683.0</v>
      </c>
      <c r="E92" s="1">
        <v>106873.0</v>
      </c>
      <c r="F92" s="1" t="s">
        <v>495</v>
      </c>
    </row>
    <row r="93" ht="15.75" customHeight="1">
      <c r="A93" s="1">
        <v>92.0</v>
      </c>
      <c r="B93" s="1" t="s">
        <v>276</v>
      </c>
      <c r="C93" s="1" t="s">
        <v>496</v>
      </c>
      <c r="D93" s="1">
        <v>535496.0</v>
      </c>
      <c r="E93" s="1">
        <v>99882.0</v>
      </c>
      <c r="F93" s="1" t="s">
        <v>497</v>
      </c>
    </row>
    <row r="94" ht="15.75" customHeight="1">
      <c r="A94" s="1">
        <v>93.0</v>
      </c>
      <c r="B94" s="1" t="s">
        <v>279</v>
      </c>
      <c r="C94" s="1" t="s">
        <v>498</v>
      </c>
      <c r="D94" s="1">
        <v>535411.0</v>
      </c>
      <c r="E94" s="1">
        <v>99847.0</v>
      </c>
      <c r="F94" s="1" t="s">
        <v>499</v>
      </c>
    </row>
    <row r="95" ht="15.75" customHeight="1">
      <c r="A95" s="1">
        <v>94.0</v>
      </c>
      <c r="B95" s="1" t="s">
        <v>282</v>
      </c>
      <c r="C95" s="1" t="s">
        <v>500</v>
      </c>
      <c r="D95" s="1">
        <v>535462.0</v>
      </c>
      <c r="E95" s="1">
        <v>99667.0</v>
      </c>
      <c r="F95" s="1" t="s">
        <v>501</v>
      </c>
    </row>
    <row r="96" ht="15.75" customHeight="1">
      <c r="A96" s="1">
        <v>95.0</v>
      </c>
      <c r="B96" s="1" t="s">
        <v>285</v>
      </c>
      <c r="C96" s="1" t="s">
        <v>502</v>
      </c>
      <c r="D96" s="1">
        <v>535503.0</v>
      </c>
      <c r="E96" s="1">
        <v>99668.0</v>
      </c>
      <c r="F96" s="1" t="s">
        <v>503</v>
      </c>
    </row>
    <row r="97" ht="15.75" customHeight="1">
      <c r="A97" s="1">
        <v>96.0</v>
      </c>
      <c r="B97" s="1" t="s">
        <v>288</v>
      </c>
      <c r="C97" s="1" t="s">
        <v>504</v>
      </c>
      <c r="D97" s="1">
        <v>543215.0</v>
      </c>
      <c r="E97" s="1">
        <v>10131.0</v>
      </c>
      <c r="F97" s="1" t="s">
        <v>505</v>
      </c>
    </row>
    <row r="98" ht="15.75" customHeight="1">
      <c r="A98" s="1">
        <v>97.0</v>
      </c>
      <c r="B98" s="1" t="s">
        <v>291</v>
      </c>
      <c r="C98" s="1" t="s">
        <v>506</v>
      </c>
      <c r="D98" s="1">
        <v>543233.0</v>
      </c>
      <c r="E98" s="1">
        <v>10139.0</v>
      </c>
      <c r="F98" s="1" t="s">
        <v>507</v>
      </c>
    </row>
    <row r="99" ht="15.75" customHeight="1">
      <c r="A99" s="1">
        <v>98.0</v>
      </c>
      <c r="B99" s="1" t="s">
        <v>294</v>
      </c>
      <c r="C99" s="1" t="s">
        <v>508</v>
      </c>
      <c r="D99" s="1">
        <v>543433.0</v>
      </c>
      <c r="E99" s="1">
        <v>101247.0</v>
      </c>
      <c r="F99" s="1" t="s">
        <v>509</v>
      </c>
    </row>
    <row r="100" ht="15.75" customHeight="1">
      <c r="A100" s="1">
        <v>99.0</v>
      </c>
      <c r="B100" s="1" t="s">
        <v>297</v>
      </c>
      <c r="C100" s="1" t="s">
        <v>510</v>
      </c>
      <c r="D100" s="1">
        <v>549063.0</v>
      </c>
      <c r="E100" s="1">
        <v>83028.0</v>
      </c>
      <c r="F100" s="1" t="s">
        <v>511</v>
      </c>
    </row>
    <row r="101" ht="15.75" customHeight="1">
      <c r="A101" s="1">
        <v>100.0</v>
      </c>
      <c r="B101" s="1" t="s">
        <v>300</v>
      </c>
      <c r="C101" s="1" t="s">
        <v>512</v>
      </c>
      <c r="D101" s="1">
        <v>521317.0</v>
      </c>
      <c r="E101" s="1">
        <v>116394.0</v>
      </c>
      <c r="F101" s="1" t="s">
        <v>513</v>
      </c>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87401575" footer="0.0" header="0.0" left="0.7" right="0.7" top="0.787401575"/>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87401575" footer="0.0" header="0.0" left="0.7" right="0.7" top="0.787401575"/>
  <pageSetup orientation="landscape"/>
  <drawing r:id="rId1"/>
</worksheet>
</file>